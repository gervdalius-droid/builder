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mc:AlternateContent xmlns:mc="http://schemas.openxmlformats.org/markup-compatibility/2006">
    <mc:Choice Requires="x15">
      <x15ac:absPath xmlns:x15ac="http://schemas.microsoft.com/office/spreadsheetml/2010/11/ac" url="C:\Users\LENOVO\Desktop\Mantas Projektai\Dariaus ir Girėno\"/>
    </mc:Choice>
  </mc:AlternateContent>
  <xr:revisionPtr revIDLastSave="0" documentId="8_{66F7565B-3581-42C8-892C-80588BFC54EC}" xr6:coauthVersionLast="47" xr6:coauthVersionMax="47" xr10:uidLastSave="{00000000-0000-0000-0000-000000000000}"/>
  <bookViews>
    <workbookView xWindow="-110" yWindow="-110" windowWidth="25820" windowHeight="15500" tabRatio="697" xr2:uid="{F3E9EDDF-4372-49FE-AA04-BEC06E37F5A5}"/>
  </bookViews>
  <sheets>
    <sheet name="PARTLIST" sheetId="208" r:id="rId1"/>
    <sheet name="LABEL" sheetId="207" r:id="rId2"/>
    <sheet name="HARDWARE_LIST" sheetId="206" r:id="rId3"/>
    <sheet name="HARDWARE" sheetId="205" state="hidden" r:id="rId4"/>
    <sheet name="EDGEBAND" sheetId="204" state="hidden" r:id="rId5"/>
    <sheet name="STOCK_CORE" sheetId="203" state="hidden" r:id="rId6"/>
    <sheet name="Tp_Global" sheetId="195" state="hidden" r:id="rId7"/>
    <sheet name="Tp_LANGUAGE" sheetId="199" state="hidden" r:id="rId8"/>
    <sheet name="Tp_STOCK_CORE" sheetId="189" state="hidden" r:id="rId9"/>
    <sheet name="Tp_FINISH" sheetId="201" state="hidden" r:id="rId10"/>
    <sheet name="Tp_EDGEBAND" sheetId="190" state="hidden" r:id="rId11"/>
    <sheet name="Tp_HARDWARE" sheetId="191" state="hidden" r:id="rId12"/>
    <sheet name="Tp_HARDWARE_LIST" sheetId="200" state="hidden" r:id="rId13"/>
    <sheet name="Tp_PARTLIST" sheetId="192" state="hidden" r:id="rId14"/>
    <sheet name="Tp_MULTIBODIES" sheetId="198" state="hidden" r:id="rId15"/>
    <sheet name="Tp_PRODUCT" sheetId="197" state="hidden" r:id="rId16"/>
    <sheet name="Tp_WELDMENTS" sheetId="202" state="hidden" r:id="rId17"/>
    <sheet name="Tp_LABEL" sheetId="193" state="hidden" r:id="rId18"/>
    <sheet name="SUMMARY" sheetId="194" r:id="rId19"/>
    <sheet name="Tp_NESTING_B" sheetId="91" state="hidden" r:id="rId20"/>
  </sheets>
  <definedNames>
    <definedName name="_BOO1" localSheetId="19">Tp_NESTING_B!$X$4</definedName>
    <definedName name="_BOO2" localSheetId="19">Tp_NESTING_B!$X$5</definedName>
    <definedName name="_BOO3" localSheetId="19">Tp_NESTING_B!$X$6</definedName>
    <definedName name="_BOO4" localSheetId="19">Tp_NESTING_B!$X$7</definedName>
    <definedName name="_BOO5" localSheetId="19">Tp_NESTING_B!$X$8</definedName>
    <definedName name="_DOU1" localSheetId="19">Tp_NESTING_B!$V$4</definedName>
    <definedName name="_DOU2" localSheetId="19">Tp_NESTING_B!$V$5</definedName>
    <definedName name="_DOU3" localSheetId="19">Tp_NESTING_B!$V$6</definedName>
    <definedName name="_DOU4" localSheetId="19">Tp_NESTING_B!$V$7</definedName>
    <definedName name="_DOU5" localSheetId="19">Tp_NESTING_B!$V$8</definedName>
    <definedName name="_xlnm._FilterDatabase" localSheetId="1" hidden="1">LABEL!$G:$N</definedName>
    <definedName name="_xlnm._FilterDatabase" localSheetId="0" hidden="1">PARTLIST!$D$9:$R$65207</definedName>
    <definedName name="_xlnm._FilterDatabase" localSheetId="6" hidden="1">Tp_Global!#REF!</definedName>
    <definedName name="_xlnm._FilterDatabase" localSheetId="17" hidden="1">Tp_LABEL!$G:$N</definedName>
    <definedName name="_xlnm._FilterDatabase" localSheetId="14" hidden="1">Tp_MULTIBODIES!$D$12:$H$65536</definedName>
    <definedName name="_xlnm._FilterDatabase" localSheetId="13" hidden="1">Tp_PARTLIST!$D$9:$R$65536</definedName>
    <definedName name="_xlnm._FilterDatabase" localSheetId="15" hidden="1">Tp_PRODUCT!$G$45:$U$65536</definedName>
    <definedName name="_xlnm._FilterDatabase" localSheetId="16" hidden="1">Tp_WELDMENTS!$D$12:$G$65536</definedName>
    <definedName name="_IMG1" localSheetId="4">EDGEBAND!#REF!</definedName>
    <definedName name="_IMG1" localSheetId="3">HARDWARE!#REF!</definedName>
    <definedName name="_IMG1" localSheetId="2">HARDWARE_LIST!#REF!</definedName>
    <definedName name="_IMG1" localSheetId="1">LABEL!#REF!</definedName>
    <definedName name="_IMG1" localSheetId="0">PARTLIST!#REF!</definedName>
    <definedName name="_IMG1" localSheetId="5">STOCK_CORE!#REF!</definedName>
    <definedName name="_IMG1" localSheetId="10">Tp_EDGEBAND!$B$4</definedName>
    <definedName name="_IMG1" localSheetId="9">Tp_FINISH!$B$4</definedName>
    <definedName name="_IMG1" localSheetId="11">Tp_HARDWARE!$B$8</definedName>
    <definedName name="_IMG1" localSheetId="12">Tp_HARDWARE_LIST!$B$8</definedName>
    <definedName name="_IMG1" localSheetId="17">Tp_LABEL!$C$4</definedName>
    <definedName name="_IMG1" localSheetId="13">Tp_PARTLIST!$B$10</definedName>
    <definedName name="_IMG1" localSheetId="8">Tp_STOCK_CORE!$B$4</definedName>
    <definedName name="_INT1" localSheetId="19">Tp_NESTING_B!$T$4</definedName>
    <definedName name="_INT2" localSheetId="19">Tp_NESTING_B!$T$5</definedName>
    <definedName name="_INT3" localSheetId="19">Tp_NESTING_B!$T$6</definedName>
    <definedName name="_INT4" localSheetId="19">Tp_NESTING_B!$T$7</definedName>
    <definedName name="_INT5" localSheetId="19">Tp_NESTING_B!$T$8</definedName>
    <definedName name="_STR1" localSheetId="4">EDGEBAND!#REF!</definedName>
    <definedName name="_STR1" localSheetId="3">HARDWARE!#REF!</definedName>
    <definedName name="_STR1" localSheetId="2">HARDWARE_LIST!#REF!</definedName>
    <definedName name="_STR1" localSheetId="1">LABEL!#REF!</definedName>
    <definedName name="_STR1" localSheetId="0">PARTLIST!$AA$10</definedName>
    <definedName name="_STR1" localSheetId="5">STOCK_CORE!#REF!</definedName>
    <definedName name="_STR1" localSheetId="10">Tp_EDGEBAND!$C$4</definedName>
    <definedName name="_STR1" localSheetId="9">Tp_FINISH!$C$4</definedName>
    <definedName name="_STR1" localSheetId="11">Tp_HARDWARE!$C$8</definedName>
    <definedName name="_STR1" localSheetId="12">Tp_HARDWARE_LIST!$C$8</definedName>
    <definedName name="_STR1" localSheetId="17">Tp_LABEL!$D$10</definedName>
    <definedName name="_STR1" localSheetId="19">Tp_NESTING_B!$C$4</definedName>
    <definedName name="_STR1" localSheetId="13">Tp_PARTLIST!$AA$10</definedName>
    <definedName name="_STR1" localSheetId="8">Tp_STOCK_CORE!$C$4</definedName>
    <definedName name="_STR10" localSheetId="4">EDGEBAND!#REF!</definedName>
    <definedName name="_STR10" localSheetId="3">HARDWARE!$G$6</definedName>
    <definedName name="_STR10" localSheetId="2">HARDWARE_LIST!$G$6</definedName>
    <definedName name="_STR10" localSheetId="1">LABEL!#REF!</definedName>
    <definedName name="_STR10" localSheetId="0">PARTLIST!#REF!</definedName>
    <definedName name="_STR10" localSheetId="5">STOCK_CORE!#REF!</definedName>
    <definedName name="_STR10" localSheetId="10">Tp_EDGEBAND!$H$4</definedName>
    <definedName name="_STR10" localSheetId="9">Tp_FINISH!$H$4</definedName>
    <definedName name="_STR10" localSheetId="11">Tp_HARDWARE!$G$6</definedName>
    <definedName name="_STR10" localSheetId="12">Tp_HARDWARE_LIST!$G$6</definedName>
    <definedName name="_STR10" localSheetId="17">Tp_LABEL!$B$2</definedName>
    <definedName name="_STR10" localSheetId="19">Tp_NESTING_B!$B$4</definedName>
    <definedName name="_STR10" localSheetId="13">Tp_PARTLIST!$M$10</definedName>
    <definedName name="_STR10" localSheetId="8">Tp_STOCK_CORE!$H$4</definedName>
    <definedName name="_STR11" localSheetId="4">EDGEBAND!#REF!</definedName>
    <definedName name="_STR11" localSheetId="1">LABEL!#REF!</definedName>
    <definedName name="_STR11" localSheetId="0">PARTLIST!#REF!</definedName>
    <definedName name="_STR11" localSheetId="5">STOCK_CORE!#REF!</definedName>
    <definedName name="_STR11" localSheetId="10">Tp_EDGEBAND!$M$4</definedName>
    <definedName name="_STR11" localSheetId="9">Tp_FINISH!$E$4</definedName>
    <definedName name="_STR11" localSheetId="17">Tp_LABEL!$E$9</definedName>
    <definedName name="_STR11" localSheetId="19">Tp_NESTING_B!$A$4</definedName>
    <definedName name="_STR11" localSheetId="13">Tp_PARTLIST!$N$10</definedName>
    <definedName name="_STR11" localSheetId="8">Tp_STOCK_CORE!$E$4</definedName>
    <definedName name="_STR12" localSheetId="1">LABEL!#REF!</definedName>
    <definedName name="_STR12" localSheetId="0">PARTLIST!#REF!</definedName>
    <definedName name="_STR12" localSheetId="5">STOCK_CORE!#REF!</definedName>
    <definedName name="_STR12" localSheetId="9">Tp_FINISH!$Q$4</definedName>
    <definedName name="_STR12" localSheetId="17">Tp_LABEL!$D$9</definedName>
    <definedName name="_STR12" localSheetId="19">Tp_NESTING_B!$R$15</definedName>
    <definedName name="_STR12" localSheetId="13">Tp_PARTLIST!$O$10</definedName>
    <definedName name="_STR12" localSheetId="8">Tp_STOCK_CORE!$Q$4</definedName>
    <definedName name="_STR13" localSheetId="1">LABEL!#REF!</definedName>
    <definedName name="_STR13" localSheetId="0">PARTLIST!#REF!</definedName>
    <definedName name="_STR13" localSheetId="5">STOCK_CORE!#REF!</definedName>
    <definedName name="_STR13" localSheetId="9">Tp_FINISH!$R$4</definedName>
    <definedName name="_STR13" localSheetId="17">Tp_LABEL!$E$5</definedName>
    <definedName name="_STR13" localSheetId="19">Tp_NESTING_B!$R$16</definedName>
    <definedName name="_STR13" localSheetId="13">Tp_PARTLIST!$P$10</definedName>
    <definedName name="_STR13" localSheetId="8">Tp_STOCK_CORE!$R$4</definedName>
    <definedName name="_STR14" localSheetId="1">LABEL!#REF!</definedName>
    <definedName name="_STR14" localSheetId="0">PARTLIST!#REF!</definedName>
    <definedName name="_STR14" localSheetId="17">Tp_LABEL!#REF!</definedName>
    <definedName name="_STR14" localSheetId="19">Tp_NESTING_B!$R$17</definedName>
    <definedName name="_STR14" localSheetId="13">Tp_PARTLIST!#REF!</definedName>
    <definedName name="_STR15" localSheetId="1">LABEL!#REF!</definedName>
    <definedName name="_STR15" localSheetId="0">PARTLIST!#REF!</definedName>
    <definedName name="_STR15" localSheetId="17">Tp_LABEL!$F$3</definedName>
    <definedName name="_STR15" localSheetId="19">Tp_NESTING_B!$R$18</definedName>
    <definedName name="_STR15" localSheetId="13">Tp_PARTLIST!$Q$10</definedName>
    <definedName name="_STR16" localSheetId="1">LABEL!#REF!</definedName>
    <definedName name="_STR16" localSheetId="0">PARTLIST!$Q$5</definedName>
    <definedName name="_STR16" localSheetId="17">Tp_LABEL!$C$8</definedName>
    <definedName name="_STR16" localSheetId="19">Tp_NESTING_B!$R$19</definedName>
    <definedName name="_STR16" localSheetId="13">Tp_PARTLIST!$Q$5</definedName>
    <definedName name="_STR17" localSheetId="1">LABEL!#REF!</definedName>
    <definedName name="_STR17" localSheetId="0">PARTLIST!#REF!</definedName>
    <definedName name="_STR17" localSheetId="17">Tp_LABEL!$C$3</definedName>
    <definedName name="_STR17" localSheetId="19">Tp_NESTING_B!$R$20</definedName>
    <definedName name="_STR17" localSheetId="13">Tp_PARTLIST!$F$10</definedName>
    <definedName name="_STR18" localSheetId="1">LABEL!#REF!</definedName>
    <definedName name="_STR18" localSheetId="0">PARTLIST!#REF!</definedName>
    <definedName name="_STR18" localSheetId="17">Tp_LABEL!$B$3</definedName>
    <definedName name="_STR18" localSheetId="19">Tp_NESTING_B!$R$21</definedName>
    <definedName name="_STR18" localSheetId="13">Tp_PARTLIST!#REF!</definedName>
    <definedName name="_STR19" localSheetId="1">LABEL!#REF!</definedName>
    <definedName name="_STR19" localSheetId="0">PARTLIST!$AG$10</definedName>
    <definedName name="_STR19" localSheetId="17">Tp_LABEL!$E$3</definedName>
    <definedName name="_STR19" localSheetId="19">Tp_NESTING_B!$R$22</definedName>
    <definedName name="_STR19" localSheetId="13">Tp_PARTLIST!$AG$10</definedName>
    <definedName name="_STR2" localSheetId="4">EDGEBAND!$T$4</definedName>
    <definedName name="_STR2" localSheetId="3">HARDWARE!#REF!</definedName>
    <definedName name="_STR2" localSheetId="2">HARDWARE_LIST!#REF!</definedName>
    <definedName name="_STR2" localSheetId="1">LABEL!#REF!</definedName>
    <definedName name="_STR2" localSheetId="0">PARTLIST!#REF!</definedName>
    <definedName name="_STR2" localSheetId="5">STOCK_CORE!$Z$4</definedName>
    <definedName name="_STR2" localSheetId="10">Tp_EDGEBAND!$T$4</definedName>
    <definedName name="_STR2" localSheetId="9">Tp_FINISH!$Z$4</definedName>
    <definedName name="_STR2" localSheetId="11">Tp_HARDWARE!$F$8</definedName>
    <definedName name="_STR2" localSheetId="12">Tp_HARDWARE_LIST!$F$8</definedName>
    <definedName name="_STR2" localSheetId="17">Tp_LABEL!$E$3</definedName>
    <definedName name="_STR2" localSheetId="19">Tp_NESTING_B!$G$4</definedName>
    <definedName name="_STR2" localSheetId="13">Tp_PARTLIST!$D$10</definedName>
    <definedName name="_STR2" localSheetId="8">Tp_STOCK_CORE!$Z$4</definedName>
    <definedName name="_STR20" localSheetId="1">LABEL!#REF!</definedName>
    <definedName name="_STR20" localSheetId="0">PARTLIST!$AG$11</definedName>
    <definedName name="_STR20" localSheetId="17">Tp_LABEL!$A$3</definedName>
    <definedName name="_STR20" localSheetId="19">Tp_NESTING_B!$R$23</definedName>
    <definedName name="_STR20" localSheetId="13">Tp_PARTLIST!$AG$11</definedName>
    <definedName name="_STR21" localSheetId="1">LABEL!#REF!</definedName>
    <definedName name="_STR21" localSheetId="0">PARTLIST!$AG$12</definedName>
    <definedName name="_STR21" localSheetId="17">Tp_LABEL!$F$3</definedName>
    <definedName name="_STR21" localSheetId="19">Tp_NESTING_B!$R$24</definedName>
    <definedName name="_STR21" localSheetId="13">Tp_PARTLIST!$AG$12</definedName>
    <definedName name="_STR22" localSheetId="0">PARTLIST!$AG$13</definedName>
    <definedName name="_STR22" localSheetId="19">Tp_NESTING_B!$R$25</definedName>
    <definedName name="_STR22" localSheetId="13">Tp_PARTLIST!$AG$13</definedName>
    <definedName name="_STR23" localSheetId="0">PARTLIST!#REF!</definedName>
    <definedName name="_STR23" localSheetId="19">Tp_NESTING_B!$R$26</definedName>
    <definedName name="_STR23">Tp_PARTLIST!$C$10</definedName>
    <definedName name="_STR24" localSheetId="19">Tp_NESTING_B!$R$27</definedName>
    <definedName name="_STR25" localSheetId="19">Tp_NESTING_B!$R$28</definedName>
    <definedName name="_STR26" localSheetId="19">Tp_NESTING_B!$R$29</definedName>
    <definedName name="_STR27" localSheetId="19">Tp_NESTING_B!$R$30</definedName>
    <definedName name="_STR28" localSheetId="19">Tp_NESTING_B!$R$31</definedName>
    <definedName name="_STR29" localSheetId="19">Tp_NESTING_B!$R$32</definedName>
    <definedName name="_STR3" localSheetId="4">EDGEBAND!#REF!</definedName>
    <definedName name="_STR3" localSheetId="3">HARDWARE!#REF!</definedName>
    <definedName name="_STR3" localSheetId="2">HARDWARE_LIST!#REF!</definedName>
    <definedName name="_STR3" localSheetId="1">LABEL!#REF!</definedName>
    <definedName name="_STR3" localSheetId="0">PARTLIST!#REF!</definedName>
    <definedName name="_STR3" localSheetId="5">STOCK_CORE!#REF!</definedName>
    <definedName name="_STR3" localSheetId="10">Tp_EDGEBAND!$D$4</definedName>
    <definedName name="_STR3" localSheetId="9">Tp_FINISH!$D$4</definedName>
    <definedName name="_STR3" localSheetId="11">Tp_HARDWARE!$D$8</definedName>
    <definedName name="_STR3" localSheetId="12">Tp_HARDWARE_LIST!$D$8</definedName>
    <definedName name="_STR3" localSheetId="17">Tp_LABEL!$A$10</definedName>
    <definedName name="_STR3" localSheetId="19">Tp_NESTING_B!$H$4</definedName>
    <definedName name="_STR3" localSheetId="13">Tp_PARTLIST!$E$10</definedName>
    <definedName name="_STR3" localSheetId="8">Tp_STOCK_CORE!$D$4</definedName>
    <definedName name="_STR30" localSheetId="0">PARTLIST!$AG$14</definedName>
    <definedName name="_STR30" localSheetId="19">Tp_NESTING_B!$R$33</definedName>
    <definedName name="_STR30" localSheetId="13">Tp_PARTLIST!$AG$14</definedName>
    <definedName name="_STR4" localSheetId="4">EDGEBAND!#REF!</definedName>
    <definedName name="_STR4" localSheetId="3">HARDWARE!#REF!</definedName>
    <definedName name="_STR4" localSheetId="2">HARDWARE_LIST!#REF!</definedName>
    <definedName name="_STR4" localSheetId="1">LABEL!#REF!</definedName>
    <definedName name="_STR4" localSheetId="0">PARTLIST!#REF!</definedName>
    <definedName name="_STR4" localSheetId="5">STOCK_CORE!#REF!</definedName>
    <definedName name="_STR4" localSheetId="10">Tp_EDGEBAND!$K$4</definedName>
    <definedName name="_STR4" localSheetId="9">Tp_FINISH!$L$4</definedName>
    <definedName name="_STR4" localSheetId="11">Tp_HARDWARE!$E$8</definedName>
    <definedName name="_STR4" localSheetId="12">Tp_HARDWARE_LIST!$E$8</definedName>
    <definedName name="_STR4" localSheetId="17">Tp_LABEL!$A$9</definedName>
    <definedName name="_STR4" localSheetId="19">Tp_NESTING_B!$I$4</definedName>
    <definedName name="_STR4" localSheetId="13">Tp_PARTLIST!$G$10</definedName>
    <definedName name="_STR4" localSheetId="8">Tp_STOCK_CORE!$L$4</definedName>
    <definedName name="_STR5" localSheetId="4">EDGEBAND!#REF!</definedName>
    <definedName name="_STR5" localSheetId="3">HARDWARE!$N$8</definedName>
    <definedName name="_STR5" localSheetId="2">HARDWARE_LIST!$N$8</definedName>
    <definedName name="_STR5" localSheetId="0">PARTLIST!#REF!</definedName>
    <definedName name="_STR5" localSheetId="5">STOCK_CORE!#REF!</definedName>
    <definedName name="_STR5" localSheetId="10">Tp_EDGEBAND!$F$4</definedName>
    <definedName name="_STR5" localSheetId="9">Tp_FINISH!$F$4</definedName>
    <definedName name="_STR5" localSheetId="11">Tp_HARDWARE!$N$8</definedName>
    <definedName name="_STR5" localSheetId="12">Tp_HARDWARE_LIST!$N$8</definedName>
    <definedName name="_STR5" localSheetId="19">Tp_NESTING_B!$D$4</definedName>
    <definedName name="_STR5" localSheetId="13">Tp_PARTLIST!$H$10</definedName>
    <definedName name="_STR5" localSheetId="8">Tp_STOCK_CORE!$F$4</definedName>
    <definedName name="_STR6" localSheetId="4">EDGEBAND!#REF!</definedName>
    <definedName name="_STR6" localSheetId="3">HARDWARE!$N$9</definedName>
    <definedName name="_STR6" localSheetId="2">HARDWARE_LIST!$N$9</definedName>
    <definedName name="_STR6" localSheetId="1">LABEL!#REF!</definedName>
    <definedName name="_STR6" localSheetId="0">PARTLIST!#REF!</definedName>
    <definedName name="_STR6" localSheetId="5">STOCK_CORE!#REF!</definedName>
    <definedName name="_STR6" localSheetId="10">Tp_EDGEBAND!$I$4</definedName>
    <definedName name="_STR6" localSheetId="9">Tp_FINISH!$I$4</definedName>
    <definedName name="_STR6" localSheetId="11">Tp_HARDWARE!$N$9</definedName>
    <definedName name="_STR6" localSheetId="12">Tp_HARDWARE_LIST!$N$9</definedName>
    <definedName name="_STR6" localSheetId="19">Tp_NESTING_B!$E$4</definedName>
    <definedName name="_STR6" localSheetId="13">Tp_PARTLIST!$I$10</definedName>
    <definedName name="_STR6" localSheetId="8">Tp_STOCK_CORE!$I$4</definedName>
    <definedName name="_STR6">Tp_LABEL!$A$7</definedName>
    <definedName name="_STR7" localSheetId="4">EDGEBAND!#REF!</definedName>
    <definedName name="_STR7" localSheetId="3">HARDWARE!#REF!</definedName>
    <definedName name="_STR7" localSheetId="2">HARDWARE_LIST!#REF!</definedName>
    <definedName name="_STR7" localSheetId="0">PARTLIST!#REF!</definedName>
    <definedName name="_STR7" localSheetId="5">STOCK_CORE!#REF!</definedName>
    <definedName name="_STR7" localSheetId="10">Tp_EDGEBAND!$E$4</definedName>
    <definedName name="_STR7" localSheetId="9">Tp_FINISH!$J$4</definedName>
    <definedName name="_STR7" localSheetId="11">Tp_HARDWARE!$G$8</definedName>
    <definedName name="_STR7" localSheetId="12">Tp_HARDWARE_LIST!$G$8</definedName>
    <definedName name="_STR7" localSheetId="19">Tp_NESTING_B!$F$4</definedName>
    <definedName name="_STR7" localSheetId="13">Tp_PARTLIST!$J$10</definedName>
    <definedName name="_STR7" localSheetId="8">Tp_STOCK_CORE!$J$4</definedName>
    <definedName name="_STR8" localSheetId="4">EDGEBAND!#REF!</definedName>
    <definedName name="_STR8" localSheetId="3">HARDWARE!$N$10</definedName>
    <definedName name="_STR8" localSheetId="2">HARDWARE_LIST!$N$10</definedName>
    <definedName name="_STR8" localSheetId="1">LABEL!#REF!</definedName>
    <definedName name="_STR8" localSheetId="0">PARTLIST!#REF!</definedName>
    <definedName name="_STR8" localSheetId="5">STOCK_CORE!#REF!</definedName>
    <definedName name="_STR8" localSheetId="10">Tp_EDGEBAND!$J$4</definedName>
    <definedName name="_STR8" localSheetId="9">Tp_FINISH!$K$4</definedName>
    <definedName name="_STR8" localSheetId="11">Tp_HARDWARE!$N$10</definedName>
    <definedName name="_STR8" localSheetId="12">Tp_HARDWARE_LIST!$N$10</definedName>
    <definedName name="_STR8" localSheetId="17">Tp_LABEL!$E$6</definedName>
    <definedName name="_STR8" localSheetId="19">Tp_NESTING_B!$K$4</definedName>
    <definedName name="_STR8" localSheetId="13">Tp_PARTLIST!$K$10</definedName>
    <definedName name="_STR8" localSheetId="8">Tp_STOCK_CORE!$K$4</definedName>
    <definedName name="_STR9" localSheetId="4">EDGEBAND!#REF!</definedName>
    <definedName name="_STR9" localSheetId="3">HARDWARE!$N$11</definedName>
    <definedName name="_STR9" localSheetId="2">HARDWARE_LIST!$N$11</definedName>
    <definedName name="_STR9" localSheetId="1">LABEL!#REF!</definedName>
    <definedName name="_STR9" localSheetId="0">PARTLIST!#REF!</definedName>
    <definedName name="_STR9" localSheetId="5">STOCK_CORE!#REF!</definedName>
    <definedName name="_STR9" localSheetId="10">Tp_EDGEBAND!$G$4</definedName>
    <definedName name="_STR9" localSheetId="9">Tp_FINISH!$G$4</definedName>
    <definedName name="_STR9" localSheetId="11">Tp_HARDWARE!$N$11</definedName>
    <definedName name="_STR9" localSheetId="12">Tp_HARDWARE_LIST!$N$11</definedName>
    <definedName name="_STR9" localSheetId="17">Tp_LABEL!$E$7</definedName>
    <definedName name="_STR9" localSheetId="19">Tp_NESTING_B!$L$4</definedName>
    <definedName name="_STR9" localSheetId="13">Tp_PARTLIST!$L$10</definedName>
    <definedName name="_STR9" localSheetId="8">Tp_STOCK_CORE!$G$4</definedName>
    <definedName name="_VAR1" localSheetId="19">Tp_NESTING_B!$Z$4</definedName>
    <definedName name="_VAR2" localSheetId="19">Tp_NESTING_B!$Z$5</definedName>
    <definedName name="_VAR3" localSheetId="19">Tp_NESTING_B!$Z$6</definedName>
    <definedName name="_VAR4" localSheetId="19">Tp_NESTING_B!$Z$7</definedName>
    <definedName name="_VAR5" localSheetId="19">Tp_NESTING_B!$Z$8</definedName>
    <definedName name="DB_PartList_Version">"v18"</definedName>
    <definedName name="_xlnm.Print_Area" localSheetId="4">EDGEBAND!$B:$L</definedName>
    <definedName name="_xlnm.Print_Area" localSheetId="3">HARDWARE!$B:$H</definedName>
    <definedName name="_xlnm.Print_Area" localSheetId="2">HARDWARE_LIST!$B:$H</definedName>
    <definedName name="_xlnm.Print_Area" localSheetId="1">LABEL!$A:$N</definedName>
    <definedName name="_xlnm.Print_Area" localSheetId="0">PARTLIST!$B:$R</definedName>
    <definedName name="_xlnm.Print_Area" localSheetId="5">STOCK_CORE!$B:$N</definedName>
    <definedName name="_xlnm.Print_Area" localSheetId="18">SUMMARY!$A:$AC</definedName>
    <definedName name="_xlnm.Print_Area" localSheetId="10">Tp_EDGEBAND!$B:$L</definedName>
    <definedName name="_xlnm.Print_Area" localSheetId="9">Tp_FINISH!$B:$N</definedName>
    <definedName name="_xlnm.Print_Area" localSheetId="11">Tp_HARDWARE!$B:$H</definedName>
    <definedName name="_xlnm.Print_Area" localSheetId="12">Tp_HARDWARE_LIST!$B:$H</definedName>
    <definedName name="_xlnm.Print_Area" localSheetId="17">Tp_LABEL!$A:$N</definedName>
    <definedName name="_xlnm.Print_Area" localSheetId="14">Tp_MULTIBODIES!$B:$H</definedName>
    <definedName name="_xlnm.Print_Area" localSheetId="19">Tp_NESTING_B!$A:$L</definedName>
    <definedName name="_xlnm.Print_Area" localSheetId="13">Tp_PARTLIST!$B:$R</definedName>
    <definedName name="_xlnm.Print_Area" localSheetId="15">Tp_PRODUCT!$A:$V</definedName>
    <definedName name="_xlnm.Print_Area" localSheetId="8">Tp_STOCK_CORE!$B:$N</definedName>
    <definedName name="_xlnm.Print_Area" localSheetId="16">Tp_WELDMENTS!$B:$G</definedName>
    <definedName name="_xlnm.Print_Titles" localSheetId="1">LABEL!$1:$1</definedName>
    <definedName name="_xlnm.Print_Titles" localSheetId="0">PARTLIST!$1:$9</definedName>
    <definedName name="_xlnm.Print_Titles" localSheetId="6">Tp_Global!$1:$15</definedName>
    <definedName name="_xlnm.Print_Titles" localSheetId="17">Tp_LABEL!$1:$1</definedName>
    <definedName name="_xlnm.Print_Titles" localSheetId="14">Tp_MULTIBODIES!$1:$6</definedName>
    <definedName name="_xlnm.Print_Titles" localSheetId="13">Tp_PARTLIST!$1:$9</definedName>
    <definedName name="_xlnm.Print_Titles" localSheetId="15">Tp_PRODUCT!$1:$15</definedName>
    <definedName name="_xlnm.Print_Titles" localSheetId="16">Tp_WELDMENTS!$1:$6</definedName>
    <definedName name="REPORTLANGUAGE">Tp_Global!$J$6</definedName>
    <definedName name="SETTINGS_ALWAYS_COPY_LAST" localSheetId="4">EDGEBAND!$R$6</definedName>
    <definedName name="SETTINGS_ALWAYS_COPY_LAST" localSheetId="3">HARDWARE!$L$10</definedName>
    <definedName name="SETTINGS_ALWAYS_COPY_LAST" localSheetId="2">HARDWARE_LIST!$L$10</definedName>
    <definedName name="SETTINGS_ALWAYS_COPY_LAST" localSheetId="1">LABEL!$X$7</definedName>
    <definedName name="SETTINGS_ALWAYS_COPY_LAST" localSheetId="0">PARTLIST!$Y$12</definedName>
    <definedName name="SETTINGS_ALWAYS_COPY_LAST" localSheetId="5">STOCK_CORE!$X$6</definedName>
    <definedName name="SETTINGS_ALWAYS_COPY_LAST" localSheetId="10">Tp_EDGEBAND!$R$6</definedName>
    <definedName name="SETTINGS_ALWAYS_COPY_LAST" localSheetId="9">Tp_FINISH!$X$6</definedName>
    <definedName name="SETTINGS_ALWAYS_COPY_LAST" localSheetId="11">Tp_HARDWARE!$L$10</definedName>
    <definedName name="SETTINGS_ALWAYS_COPY_LAST" localSheetId="12">Tp_HARDWARE_LIST!$L$10</definedName>
    <definedName name="SETTINGS_ALWAYS_COPY_LAST" localSheetId="17">Tp_LABEL!$Q$7</definedName>
    <definedName name="SETTINGS_ALWAYS_COPY_LAST" localSheetId="14">Tp_MULTIBODIES!$L$15</definedName>
    <definedName name="SETTINGS_ALWAYS_COPY_LAST" localSheetId="13">Tp_PARTLIST!$Y$12</definedName>
    <definedName name="SETTINGS_ALWAYS_COPY_LAST" localSheetId="15">Tp_PRODUCT!$Y$68</definedName>
    <definedName name="SETTINGS_ALWAYS_COPY_LAST" localSheetId="8">Tp_STOCK_CORE!$X$6</definedName>
    <definedName name="SETTINGS_ALWAYS_COPY_LAST" localSheetId="16">Tp_WELDMENTS!$K$15</definedName>
    <definedName name="SETTINGS_CFIRST_IMG" localSheetId="19">Tp_NESTING_B!$O$6</definedName>
    <definedName name="SETTINGS_CNB_IMG" localSheetId="19">Tp_NESTING_B!$O$8</definedName>
    <definedName name="SETTINGS_FIRST_ROW" localSheetId="19">Tp_NESTING_B!$O$10</definedName>
    <definedName name="SETTINGS_HIDDEN_SHEET" localSheetId="4">EDGEBAND!$R$5</definedName>
    <definedName name="SETTINGS_HIDDEN_SHEET" localSheetId="3">HARDWARE!$L$9</definedName>
    <definedName name="SETTINGS_HIDDEN_SHEET" localSheetId="2">HARDWARE_LIST!$L$9</definedName>
    <definedName name="SETTINGS_HIDDEN_SHEET" localSheetId="1">LABEL!$X$6</definedName>
    <definedName name="SETTINGS_HIDDEN_SHEET" localSheetId="0">PARTLIST!$Y$11</definedName>
    <definedName name="SETTINGS_HIDDEN_SHEET" localSheetId="5">STOCK_CORE!$X$5</definedName>
    <definedName name="SETTINGS_HIDDEN_SHEET" localSheetId="10">Tp_EDGEBAND!$R$5</definedName>
    <definedName name="SETTINGS_HIDDEN_SHEET" localSheetId="9">Tp_FINISH!$X$5</definedName>
    <definedName name="SETTINGS_HIDDEN_SHEET" localSheetId="11">Tp_HARDWARE!$L$9</definedName>
    <definedName name="SETTINGS_HIDDEN_SHEET" localSheetId="12">Tp_HARDWARE_LIST!$L$9</definedName>
    <definedName name="SETTINGS_HIDDEN_SHEET" localSheetId="17">Tp_LABEL!$Q$6</definedName>
    <definedName name="SETTINGS_HIDDEN_SHEET" localSheetId="14">Tp_MULTIBODIES!$L$14</definedName>
    <definedName name="SETTINGS_HIDDEN_SHEET" localSheetId="19">Tp_NESTING_B!$O$12</definedName>
    <definedName name="SETTINGS_HIDDEN_SHEET" localSheetId="13">Tp_PARTLIST!$Y$11</definedName>
    <definedName name="SETTINGS_HIDDEN_SHEET" localSheetId="15">Tp_PRODUCT!$Y$67</definedName>
    <definedName name="SETTINGS_HIDDEN_SHEET" localSheetId="8">Tp_STOCK_CORE!$X$5</definedName>
    <definedName name="SETTINGS_HIDDEN_SHEET" localSheetId="16">Tp_WELDMENTS!$K$14</definedName>
    <definedName name="SETTINGS_HNB_COPY" localSheetId="4">EDGEBAND!$R$4</definedName>
    <definedName name="SETTINGS_HNB_COPY" localSheetId="3">HARDWARE!$L$8</definedName>
    <definedName name="SETTINGS_HNB_COPY" localSheetId="2">HARDWARE_LIST!$L$8</definedName>
    <definedName name="SETTINGS_HNB_COPY" localSheetId="1">LABEL!$X$5</definedName>
    <definedName name="SETTINGS_HNB_COPY" localSheetId="0">PARTLIST!$Y$10</definedName>
    <definedName name="SETTINGS_HNB_COPY" localSheetId="5">STOCK_CORE!$X$4</definedName>
    <definedName name="SETTINGS_HNB_COPY" localSheetId="10">Tp_EDGEBAND!$R$4</definedName>
    <definedName name="SETTINGS_HNB_COPY" localSheetId="9">Tp_FINISH!$X$4</definedName>
    <definedName name="SETTINGS_HNB_COPY" localSheetId="11">Tp_HARDWARE!$L$8</definedName>
    <definedName name="SETTINGS_HNB_COPY" localSheetId="12">Tp_HARDWARE_LIST!$L$8</definedName>
    <definedName name="SETTINGS_HNB_COPY" localSheetId="17">Tp_LABEL!$Q$5</definedName>
    <definedName name="SETTINGS_HNB_COPY" localSheetId="14">Tp_MULTIBODIES!$L$13</definedName>
    <definedName name="SETTINGS_HNB_COPY" localSheetId="19">Tp_NESTING_B!$O$9</definedName>
    <definedName name="SETTINGS_HNB_COPY" localSheetId="13">Tp_PARTLIST!$Y$10</definedName>
    <definedName name="SETTINGS_HNB_COPY" localSheetId="15">Tp_PRODUCT!$Y$66</definedName>
    <definedName name="SETTINGS_HNB_COPY" localSheetId="8">Tp_STOCK_CORE!$X$4</definedName>
    <definedName name="SETTINGS_HNB_COPY" localSheetId="16">Tp_WELDMENTS!$K$13</definedName>
    <definedName name="SETTINGS_INSERT_PICT" localSheetId="19">Tp_NESTING_B!$O$11</definedName>
    <definedName name="SETTINGS_RFIRST_IMG" localSheetId="19">Tp_NESTING_B!$O$5</definedName>
    <definedName name="SETTINGS_RH" localSheetId="19">Tp_NESTING_B!$O$4</definedName>
    <definedName name="SETTINGS_RNB_IMG" localSheetId="19">Tp_NESTING_B!$O$7</definedName>
    <definedName name="STR0" localSheetId="19">Tp_NESTING_B!$R$1</definedName>
    <definedName name="XML_DEBUG_DETAILS">Tp_Global!$AA$1</definedName>
    <definedName name="XML_DEBUG_FULLPATH">Tp_Global!$D$13</definedName>
    <definedName name="XML_TP_DETAILS">Tp_Global!$N$1</definedName>
    <definedName name="XML_TP_FULLPATH" localSheetId="6">Tp_Global!$D$10</definedName>
    <definedName name="XML_TP_MAIN">Tp_Global!$A$1</definedName>
    <definedName name="ZONECAB" localSheetId="15">Tp_PRODUCT!$A$53:$V$59</definedName>
    <definedName name="ZONECAB.IMG1" localSheetId="15">Tp_PRODUCT!$E$54</definedName>
    <definedName name="ZONECAB.STR1" localSheetId="15">Tp_PRODUCT!$H$54</definedName>
    <definedName name="ZONECAB.STR2" localSheetId="15">Tp_PRODUCT!$T$54</definedName>
    <definedName name="ZONECAB.STR3" localSheetId="15">Tp_PRODUCT!$T$57</definedName>
    <definedName name="ZONECHILDPART_TITLE" localSheetId="15">Tp_PRODUCT!$A$28:$V$30</definedName>
    <definedName name="ZONECOPY" localSheetId="4">EDGEBAND!$A$309:$O$309</definedName>
    <definedName name="ZONECOPY" localSheetId="3">HARDWARE!$A$43:$I$43</definedName>
    <definedName name="ZONECOPY" localSheetId="2">HARDWARE_LIST!$A$43:$I$43</definedName>
    <definedName name="ZONECOPY" localSheetId="1">LABEL!#REF!</definedName>
    <definedName name="ZONECOPY" localSheetId="0">PARTLIST!$S$137:$V$137</definedName>
    <definedName name="ZONECOPY" localSheetId="5">STOCK_CORE!$A$131:$U$131</definedName>
    <definedName name="ZONECOPY" localSheetId="10">Tp_EDGEBAND!$A$4:$O$4</definedName>
    <definedName name="ZONECOPY" localSheetId="9">Tp_FINISH!$A$4:$U$4</definedName>
    <definedName name="ZONECOPY" localSheetId="11">Tp_HARDWARE!$A$8:$I$8</definedName>
    <definedName name="ZONECOPY" localSheetId="12">Tp_HARDWARE_LIST!$A$8:$I$8</definedName>
    <definedName name="ZONECOPY" localSheetId="17">Tp_LABEL!$A$2:$G$11</definedName>
    <definedName name="ZONECOPY" localSheetId="19">Tp_NESTING_B!$A$4:$L$4</definedName>
    <definedName name="ZONECOPY" localSheetId="13">Tp_PARTLIST!$A$10:$V$10</definedName>
    <definedName name="ZONECOPY" localSheetId="8">Tp_STOCK_CORE!$A$4:$U$4</definedName>
    <definedName name="ZONEHA" localSheetId="15">Tp_PRODUCT!$A$14:$V$15</definedName>
    <definedName name="ZONEHA.IMG1" localSheetId="15">Tp_PRODUCT!$E$14</definedName>
    <definedName name="ZONEHA.PARENT.IMG1" localSheetId="15">Tp_PRODUCT!$AD$64</definedName>
    <definedName name="ZONEHA.PARENT.STR1" localSheetId="15">Tp_PRODUCT!$AD$61</definedName>
    <definedName name="ZONEHA.PARENT.STR2" localSheetId="15">Tp_PRODUCT!$AD$62</definedName>
    <definedName name="ZONEHA.PARENT.STR3" localSheetId="15">Tp_PRODUCT!$AD$63</definedName>
    <definedName name="ZONEHA.STR1" localSheetId="15">Tp_PRODUCT!$F$14</definedName>
    <definedName name="ZONEHA.STR2" localSheetId="15">Tp_PRODUCT!$P$14</definedName>
    <definedName name="ZONEHA.STR3" localSheetId="15">Tp_PRODUCT!$I$14</definedName>
    <definedName name="ZONEHA.STR4" localSheetId="15">Tp_PRODUCT!$M$14</definedName>
    <definedName name="ZONEHA.STR5" localSheetId="15">Tp_PRODUCT!$R$14</definedName>
    <definedName name="ZONEHA_TITLE" localSheetId="15">Tp_PRODUCT!$A$8:$V$11</definedName>
    <definedName name="ZONEHA_TITLE.PARENT.IMG1" localSheetId="15">Tp_PRODUCT!$AC$64</definedName>
    <definedName name="ZONEHA_TITLE.PARENT.STR1" localSheetId="15">Tp_PRODUCT!$AC$61</definedName>
    <definedName name="ZONEHA_TITLE.PARENT.STR2" localSheetId="15">Tp_PRODUCT!$AC$62</definedName>
    <definedName name="ZONEHA_TITLE.PARENT.STR3" localSheetId="15">Tp_PRODUCT!$AC$63</definedName>
    <definedName name="ZONEHA_TITLE.STR1" localSheetId="15">Tp_PRODUCT!$AN$10</definedName>
    <definedName name="ZONEMULTIBODIES" localSheetId="14">Tp_MULTIBODIES!$A$13:$I$13</definedName>
    <definedName name="ZONEMULTIBODIES.IMG1" localSheetId="14">Tp_MULTIBODIES!$B$13</definedName>
    <definedName name="ZONEMULTIBODIES.PARENT.IMG1" localSheetId="14">Tp_MULTIBODIES!$T$11</definedName>
    <definedName name="ZONEMULTIBODIES.PARENT.STR1" localSheetId="14">Tp_MULTIBODIES!$T$12</definedName>
    <definedName name="ZONEMULTIBODIES.PARENT.STR2" localSheetId="14">Tp_MULTIBODIES!$T$13</definedName>
    <definedName name="ZONEMULTIBODIES.STR1" localSheetId="14">Tp_MULTIBODIES!$C$13</definedName>
    <definedName name="ZONEMULTIBODIES.STR2" localSheetId="14">Tp_MULTIBODIES!$E$13</definedName>
    <definedName name="ZONEMULTIBODIES.STR3" localSheetId="14">Tp_MULTIBODIES!$F$13</definedName>
    <definedName name="ZONEMULTIBODIES.STR4" localSheetId="14">Tp_MULTIBODIES!$G$13</definedName>
    <definedName name="ZONEMULTIBODIES.STR5" localSheetId="14">Tp_MULTIBODIES!$D$13</definedName>
    <definedName name="ZONEMULTIBODIES.STR6" localSheetId="14">Tp_MULTIBODIES!$H$13</definedName>
    <definedName name="ZONEPART" localSheetId="14">Tp_MULTIBODIES!$B$7:$H$12</definedName>
    <definedName name="ZONEPART" localSheetId="15">Tp_PRODUCT!$A$48:$V$51</definedName>
    <definedName name="ZONEPART" localSheetId="16">Tp_WELDMENTS!$B$7:$G$12</definedName>
    <definedName name="ZONEPART.IMG1" localSheetId="14">Tp_MULTIBODIES!$B$8</definedName>
    <definedName name="ZONEPART.IMG1" localSheetId="15">Tp_PRODUCT!$E$48</definedName>
    <definedName name="ZONEPART.IMG1" localSheetId="16">Tp_WELDMENTS!$B$8</definedName>
    <definedName name="ZONEPART.PARENT.IMG1" localSheetId="15">Tp_PRODUCT!$AB$64</definedName>
    <definedName name="ZONEPART.PARENT.STR1" localSheetId="15">Tp_PRODUCT!$AB$61</definedName>
    <definedName name="ZONEPART.PARENT.STR2" localSheetId="15">Tp_PRODUCT!$AB$62</definedName>
    <definedName name="ZONEPART.PARENT.STR3" localSheetId="15">Tp_PRODUCT!$AB$63</definedName>
    <definedName name="ZONEPART.STR1" localSheetId="14">Tp_MULTIBODIES!$D$9</definedName>
    <definedName name="ZONEPART.STR1" localSheetId="15">Tp_PRODUCT!$E$48</definedName>
    <definedName name="ZONEPART.STR1" localSheetId="16">Tp_WELDMENTS!$D$9</definedName>
    <definedName name="ZONEPART.STR10" localSheetId="15">Tp_PRODUCT!$T$48</definedName>
    <definedName name="ZONEPART.STR11" localSheetId="15">Tp_PRODUCT!$U$48</definedName>
    <definedName name="ZONEPART.STR12" localSheetId="15">Tp_PRODUCT!$AF$38</definedName>
    <definedName name="ZONEPART.STR13" localSheetId="15">Tp_PRODUCT!$AG$38</definedName>
    <definedName name="ZONEPART.STR14" localSheetId="15">Tp_PRODUCT!$AH$38</definedName>
    <definedName name="ZONEPART.STR15" localSheetId="15">Tp_PRODUCT!$AI$38</definedName>
    <definedName name="ZONEPART.STR16" localSheetId="15">Tp_PRODUCT!$AA$61</definedName>
    <definedName name="ZONEPART.STR17" localSheetId="15">Tp_PRODUCT!$J$48</definedName>
    <definedName name="ZONEPART.STR18" localSheetId="15">Tp_PRODUCT!$H$48</definedName>
    <definedName name="ZONEPART.STR2" localSheetId="14">Tp_MULTIBODIES!$G$8</definedName>
    <definedName name="ZONEPART.STR2" localSheetId="15">Tp_PRODUCT!$F$48</definedName>
    <definedName name="ZONEPART.STR2" localSheetId="16">Tp_WELDMENTS!$F$8</definedName>
    <definedName name="ZONEPART.STR3" localSheetId="15">Tp_PRODUCT!$G$48</definedName>
    <definedName name="ZONEPART.STR4" localSheetId="15">Tp_PRODUCT!$N$48</definedName>
    <definedName name="ZONEPART.STR5" localSheetId="15">Tp_PRODUCT!$O$48</definedName>
    <definedName name="ZONEPART.STR6" localSheetId="15">Tp_PRODUCT!$P$48</definedName>
    <definedName name="ZONEPART.STR7" localSheetId="15">Tp_PRODUCT!$Q$48</definedName>
    <definedName name="ZONEPART.STR8" localSheetId="15">Tp_PRODUCT!$R$48</definedName>
    <definedName name="ZONEPART.STR9" localSheetId="15">Tp_PRODUCT!$S$48</definedName>
    <definedName name="ZONEPART_TITLE" localSheetId="15">Tp_PRODUCT!$A$42:$V$45</definedName>
    <definedName name="ZONEPART_TITLE.PARENT.IMG1" localSheetId="15">Tp_PRODUCT!$AG$15</definedName>
    <definedName name="ZONEPART_TITLE.PARENT.STR1" localSheetId="15">Tp_PRODUCT!$AG$10</definedName>
    <definedName name="ZONEPART_TITLE.PARENT.STR2" localSheetId="15">Tp_PRODUCT!$AG$11</definedName>
    <definedName name="ZONEPART_TITLE.PARENT.STR3" localSheetId="15">Tp_PRODUCT!$AG$14</definedName>
    <definedName name="ZONEPART_TITLE.STR1" localSheetId="15">Tp_PRODUCT!$AF$10</definedName>
    <definedName name="ZONEPROGRAM" localSheetId="15">Tp_PRODUCT!$A$22:$V$25</definedName>
    <definedName name="ZONEPROGRAM.IMG1" localSheetId="15">Tp_PRODUCT!$F$22</definedName>
    <definedName name="ZONEPROGRAM.PARENT.IMG1" localSheetId="15">Tp_PRODUCT!$AL$54</definedName>
    <definedName name="ZONEPROGRAM.PARENT.PARENT.IMG1" localSheetId="15">Tp_PRODUCT!$AM$15</definedName>
    <definedName name="ZONEPROGRAM.PARENT.PARENT.STR1" localSheetId="15">Tp_PRODUCT!$AM$10</definedName>
    <definedName name="ZONEPROGRAM.PARENT.PARENT.STR2" localSheetId="15">Tp_PRODUCT!$AM$11</definedName>
    <definedName name="ZONEPROGRAM.PARENT.PARENT.STR3" localSheetId="15">Tp_PRODUCT!$AM$14</definedName>
    <definedName name="ZONEPROGRAM.PARENT.STR1" localSheetId="15">Tp_PRODUCT!$AL$10</definedName>
    <definedName name="ZONEPROGRAM.PARENT.STR10" localSheetId="15">Tp_PRODUCT!$AL$22</definedName>
    <definedName name="ZONEPROGRAM.PARENT.STR11" localSheetId="15">Tp_PRODUCT!$AL$25</definedName>
    <definedName name="ZONEPROGRAM.PARENT.STR12" localSheetId="15">Tp_PRODUCT!$AL$41</definedName>
    <definedName name="ZONEPROGRAM.PARENT.STR13" localSheetId="15">Tp_PRODUCT!$AL$42</definedName>
    <definedName name="ZONEPROGRAM.PARENT.STR14" localSheetId="15">Tp_PRODUCT!$AL$43</definedName>
    <definedName name="ZONEPROGRAM.PARENT.STR15" localSheetId="15">Tp_PRODUCT!$AL$44</definedName>
    <definedName name="ZONEPROGRAM.PARENT.STR16" localSheetId="15">Tp_PRODUCT!$AL$45</definedName>
    <definedName name="ZONEPROGRAM.PARENT.STR17" localSheetId="15">Tp_PRODUCT!$AL$51</definedName>
    <definedName name="ZONEPROGRAM.PARENT.STR18" localSheetId="15">Tp_PRODUCT!$AL$53</definedName>
    <definedName name="ZONEPROGRAM.PARENT.STR2" localSheetId="15">Tp_PRODUCT!$AL$11</definedName>
    <definedName name="ZONEPROGRAM.PARENT.STR3" localSheetId="15">Tp_PRODUCT!$AL$14</definedName>
    <definedName name="ZONEPROGRAM.PARENT.STR4" localSheetId="15">Tp_PRODUCT!$AL$15</definedName>
    <definedName name="ZONEPROGRAM.PARENT.STR5" localSheetId="15">Tp_PRODUCT!$AL$16</definedName>
    <definedName name="ZONEPROGRAM.PARENT.STR6" localSheetId="15">Tp_PRODUCT!$AL$17</definedName>
    <definedName name="ZONEPROGRAM.PARENT.STR7" localSheetId="15">Tp_PRODUCT!$AL$19</definedName>
    <definedName name="ZONEPROGRAM.PARENT.STR8" localSheetId="15">Tp_PRODUCT!$AX$10</definedName>
    <definedName name="ZONEPROGRAM.PARENT.STR9" localSheetId="15">Tp_PRODUCT!$AL$21</definedName>
    <definedName name="ZONEPROGRAM.STR1" localSheetId="15">Tp_PRODUCT!$H$25</definedName>
    <definedName name="ZONEPROGRAM.STR2" localSheetId="15">Tp_PRODUCT!$AI$56</definedName>
    <definedName name="ZONEPROGRAM.STR3" localSheetId="15">Tp_PRODUCT!$AJ$56</definedName>
    <definedName name="ZONEPROGRAM.STR4" localSheetId="15">Tp_PRODUCT!$AK$56</definedName>
    <definedName name="ZONEPROGRAM.STR5" localSheetId="15">Tp_PRODUCT!$N$22</definedName>
    <definedName name="ZONEPROGRAM.STR6" localSheetId="15">Tp_PRODUCT!$O$22</definedName>
    <definedName name="ZONEPROGRAM.STR7" localSheetId="15">Tp_PRODUCT!$R$22</definedName>
    <definedName name="ZONEPROGRAM_TITLE" localSheetId="15">Tp_PRODUCT!$A$18:$V$19</definedName>
    <definedName name="ZONEPROGRAM_TITLE.PARENT.IMG1" localSheetId="15">Tp_PRODUCT!$AI$54</definedName>
    <definedName name="ZONEPROGRAM_TITLE.PARENT.PARENT.IMG1" localSheetId="15">Tp_PRODUCT!$AJ$15</definedName>
    <definedName name="ZONEPROGRAM_TITLE.PARENT.PARENT.STR1" localSheetId="15">Tp_PRODUCT!$AJ$10</definedName>
    <definedName name="ZONEPROGRAM_TITLE.PARENT.PARENT.STR2" localSheetId="15">Tp_PRODUCT!$AJ$11</definedName>
    <definedName name="ZONEPROGRAM_TITLE.PARENT.PARENT.STR3" localSheetId="15">Tp_PRODUCT!$AJ$14</definedName>
    <definedName name="ZONEPROGRAM_TITLE.PARENT.STR1" localSheetId="15">Tp_PRODUCT!$AI$10</definedName>
    <definedName name="ZONEPROGRAM_TITLE.PARENT.STR10" localSheetId="15">Tp_PRODUCT!$AI$22</definedName>
    <definedName name="ZONEPROGRAM_TITLE.PARENT.STR11" localSheetId="15">Tp_PRODUCT!$AI$25</definedName>
    <definedName name="ZONEPROGRAM_TITLE.PARENT.STR12" localSheetId="15">Tp_PRODUCT!$AI$41</definedName>
    <definedName name="ZONEPROGRAM_TITLE.PARENT.STR13" localSheetId="15">Tp_PRODUCT!$AI$42</definedName>
    <definedName name="ZONEPROGRAM_TITLE.PARENT.STR14" localSheetId="15">Tp_PRODUCT!$AI$43</definedName>
    <definedName name="ZONEPROGRAM_TITLE.PARENT.STR15" localSheetId="15">Tp_PRODUCT!$AI$44</definedName>
    <definedName name="ZONEPROGRAM_TITLE.PARENT.STR16" localSheetId="15">Tp_PRODUCT!$AI$45</definedName>
    <definedName name="ZONEPROGRAM_TITLE.PARENT.STR17" localSheetId="15">Tp_PRODUCT!$AI$51</definedName>
    <definedName name="ZONEPROGRAM_TITLE.PARENT.STR18" localSheetId="15">Tp_PRODUCT!$AI$53</definedName>
    <definedName name="ZONEPROGRAM_TITLE.PARENT.STR2" localSheetId="15">Tp_PRODUCT!$AI$11</definedName>
    <definedName name="ZONEPROGRAM_TITLE.PARENT.STR3" localSheetId="15">Tp_PRODUCT!$AI$14</definedName>
    <definedName name="ZONEPROGRAM_TITLE.PARENT.STR4" localSheetId="15">Tp_PRODUCT!$AI$15</definedName>
    <definedName name="ZONEPROGRAM_TITLE.PARENT.STR5" localSheetId="15">Tp_PRODUCT!$AI$16</definedName>
    <definedName name="ZONEPROGRAM_TITLE.PARENT.STR6" localSheetId="15">Tp_PRODUCT!$AI$17</definedName>
    <definedName name="ZONEPROGRAM_TITLE.PARENT.STR7" localSheetId="15">Tp_PRODUCT!$AI$19</definedName>
    <definedName name="ZONEPROGRAM_TITLE.PARENT.STR8" localSheetId="15">Tp_PRODUCT!$AV$10</definedName>
    <definedName name="ZONEPROGRAM_TITLE.PARENT.STR9" localSheetId="15">Tp_PRODUCT!$AI$21</definedName>
    <definedName name="ZONEPROGRAM_TITLE.STR1" localSheetId="15">Tp_PRODUCT!$AU$10</definedName>
    <definedName name="ZONESTOCK" localSheetId="15">Tp_PRODUCT!$A$38:$V$39</definedName>
    <definedName name="ZONESTOCK.IMG1" localSheetId="15">Tp_PRODUCT!$F$38</definedName>
    <definedName name="ZONESTOCK.PARENT.IMG1" localSheetId="15">Tp_PRODUCT!$AS$33</definedName>
    <definedName name="ZONESTOCK.PARENT.PARENT.IMG1" localSheetId="15">Tp_PRODUCT!$AT$13</definedName>
    <definedName name="ZONESTOCK.PARENT.PARENT.STR1" localSheetId="15">Tp_PRODUCT!$AT$10</definedName>
    <definedName name="ZONESTOCK.PARENT.PARENT.STR2" localSheetId="15">Tp_PRODUCT!$AT$11</definedName>
    <definedName name="ZONESTOCK.PARENT.PARENT.STR3" localSheetId="15">Tp_PRODUCT!$AT$12</definedName>
    <definedName name="ZONESTOCK.PARENT.STR1" localSheetId="15">Tp_PRODUCT!$AS$10</definedName>
    <definedName name="ZONESTOCK.PARENT.STR10" localSheetId="15">Tp_PRODUCT!$AS$19</definedName>
    <definedName name="ZONESTOCK.PARENT.STR11" localSheetId="15">Tp_PRODUCT!$AS$20</definedName>
    <definedName name="ZONESTOCK.PARENT.STR12" localSheetId="15">Tp_PRODUCT!$AS$21</definedName>
    <definedName name="ZONESTOCK.PARENT.STR13" localSheetId="15">Tp_PRODUCT!$AS$22</definedName>
    <definedName name="ZONESTOCK.PARENT.STR14" localSheetId="15">Tp_PRODUCT!$AS$23</definedName>
    <definedName name="ZONESTOCK.PARENT.STR15" localSheetId="15">Tp_PRODUCT!$AS$24</definedName>
    <definedName name="ZONESTOCK.PARENT.STR16" localSheetId="15">Tp_PRODUCT!$AS$25</definedName>
    <definedName name="ZONESTOCK.PARENT.STR17" localSheetId="15">Tp_PRODUCT!$AS$26</definedName>
    <definedName name="ZONESTOCK.PARENT.STR18" localSheetId="15">Tp_PRODUCT!$AS$32</definedName>
    <definedName name="ZONESTOCK.PARENT.STR2" localSheetId="15">Tp_PRODUCT!$AS$11</definedName>
    <definedName name="ZONESTOCK.PARENT.STR3" localSheetId="15">Tp_PRODUCT!$AS$12</definedName>
    <definedName name="ZONESTOCK.PARENT.STR4" localSheetId="15">Tp_PRODUCT!$AS$13</definedName>
    <definedName name="ZONESTOCK.PARENT.STR5" localSheetId="15">Tp_PRODUCT!$AS$14</definedName>
    <definedName name="ZONESTOCK.PARENT.STR6" localSheetId="15">Tp_PRODUCT!$AS$15</definedName>
    <definedName name="ZONESTOCK.PARENT.STR7" localSheetId="15">Tp_PRODUCT!$AS$16</definedName>
    <definedName name="ZONESTOCK.PARENT.STR8" localSheetId="15">Tp_PRODUCT!$AS$17</definedName>
    <definedName name="ZONESTOCK.PARENT.STR9" localSheetId="15">Tp_PRODUCT!$AS$18</definedName>
    <definedName name="ZONESTOCK.STR1" localSheetId="15">Tp_PRODUCT!$C$38</definedName>
    <definedName name="ZONESTOCK.STR2" localSheetId="15">Tp_PRODUCT!$J$38</definedName>
    <definedName name="ZONESTOCK.STR3" localSheetId="15">Tp_PRODUCT!$O$38</definedName>
    <definedName name="ZONESTOCK.STR4" localSheetId="15">Tp_PRODUCT!$R$38</definedName>
    <definedName name="ZONESTOCK.STR5" localSheetId="15">Tp_PRODUCT!$S$38</definedName>
    <definedName name="ZONESTOCK.STR6" localSheetId="15">Tp_PRODUCT!$T$38</definedName>
    <definedName name="ZONESTOCK.STR7" localSheetId="15">Tp_PRODUCT!$U$38</definedName>
    <definedName name="ZONESTOCK_TITLE" localSheetId="15">Tp_PRODUCT!$A$33:$V$35</definedName>
    <definedName name="ZONESTOCK_TITLE.PARENT.IMG1" localSheetId="15">Tp_PRODUCT!$AP$33</definedName>
    <definedName name="ZONESTOCK_TITLE.PARENT.PARENT.IMG1" localSheetId="15">Tp_PRODUCT!$AQ$13</definedName>
    <definedName name="ZONESTOCK_TITLE.PARENT.PARENT.STR1" localSheetId="15">Tp_PRODUCT!$AQ$10</definedName>
    <definedName name="ZONESTOCK_TITLE.PARENT.PARENT.STR2" localSheetId="15">Tp_PRODUCT!$AQ$11</definedName>
    <definedName name="ZONESTOCK_TITLE.PARENT.PARENT.STR3" localSheetId="15">Tp_PRODUCT!$AQ$12</definedName>
    <definedName name="ZONESTOCK_TITLE.PARENT.STR1" localSheetId="15">Tp_PRODUCT!$AP$10</definedName>
    <definedName name="ZONESTOCK_TITLE.PARENT.STR10" localSheetId="15">Tp_PRODUCT!$AP$19</definedName>
    <definedName name="ZONESTOCK_TITLE.PARENT.STR11" localSheetId="15">Tp_PRODUCT!$AP$20</definedName>
    <definedName name="ZONESTOCK_TITLE.PARENT.STR12" localSheetId="15">Tp_PRODUCT!$AP$21</definedName>
    <definedName name="ZONESTOCK_TITLE.PARENT.STR13" localSheetId="15">Tp_PRODUCT!$AP$22</definedName>
    <definedName name="ZONESTOCK_TITLE.PARENT.STR14" localSheetId="15">Tp_PRODUCT!$AP$23</definedName>
    <definedName name="ZONESTOCK_TITLE.PARENT.STR15" localSheetId="15">Tp_PRODUCT!$AP$24</definedName>
    <definedName name="ZONESTOCK_TITLE.PARENT.STR16" localSheetId="15">Tp_PRODUCT!$AP$25</definedName>
    <definedName name="ZONESTOCK_TITLE.PARENT.STR17" localSheetId="15">Tp_PRODUCT!$AP$26</definedName>
    <definedName name="ZONESTOCK_TITLE.PARENT.STR18" localSheetId="15">Tp_PRODUCT!$AP$32</definedName>
    <definedName name="ZONESTOCK_TITLE.PARENT.STR2" localSheetId="15">Tp_PRODUCT!$AP$11</definedName>
    <definedName name="ZONESTOCK_TITLE.PARENT.STR3" localSheetId="15">Tp_PRODUCT!$AP$12</definedName>
    <definedName name="ZONESTOCK_TITLE.PARENT.STR4" localSheetId="15">Tp_PRODUCT!$AP$13</definedName>
    <definedName name="ZONESTOCK_TITLE.PARENT.STR5" localSheetId="15">Tp_PRODUCT!$AP$14</definedName>
    <definedName name="ZONESTOCK_TITLE.PARENT.STR6" localSheetId="15">Tp_PRODUCT!$AP$15</definedName>
    <definedName name="ZONESTOCK_TITLE.PARENT.STR7" localSheetId="15">Tp_PRODUCT!$AP$16</definedName>
    <definedName name="ZONESTOCK_TITLE.PARENT.STR8" localSheetId="15">Tp_PRODUCT!$AP$17</definedName>
    <definedName name="ZONESTOCK_TITLE.PARENT.STR9" localSheetId="15">Tp_PRODUCT!$AP$18</definedName>
    <definedName name="ZONESTOCK_TITLE.STR1" localSheetId="15">Tp_PRODUCT!$AO$10</definedName>
    <definedName name="ZONEWELDMENTS" localSheetId="16">Tp_WELDMENTS!$A$13:$H$13</definedName>
    <definedName name="ZONEWELDMENTS.IMG1" localSheetId="16">Tp_WELDMENTS!$B$13</definedName>
    <definedName name="ZONEWELDMENTS.STR1" localSheetId="16">Tp_WELDMENTS!$C$13</definedName>
    <definedName name="ZONEWELDMENTS.STR2" localSheetId="16">Tp_WELDMENTS!$D$13</definedName>
    <definedName name="ZONEWELDMENTS.STR3" localSheetId="16">Tp_WELDMENTS!$F$13</definedName>
    <definedName name="ZONEWELDMENTS.STR4" localSheetId="16">Tp_WELDMENTS!$E$13</definedName>
    <definedName name="ZONEWELDMENTS.STR5" localSheetId="16">Tp_WELDMENTS!$G$13</definedName>
  </definedNames>
  <calcPr calcId="191029"/>
  <pivotCaches>
    <pivotCache cacheId="10" r:id="rId21"/>
    <pivotCache cacheId="17" r:id="rId22"/>
    <pivotCache cacheId="25" r:id="rId23"/>
    <pivotCache cacheId="33" r:id="rId2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<sst xmlns="http://schemas.openxmlformats.org/spreadsheetml/2006/main" count="4071" uniqueCount="923">
  <si>
    <t>Material</t>
  </si>
  <si>
    <t>Lenght</t>
  </si>
  <si>
    <t>Width</t>
  </si>
  <si>
    <t>Thickness</t>
  </si>
  <si>
    <t>Parameters</t>
  </si>
  <si>
    <t>STR1</t>
  </si>
  <si>
    <t>STR2</t>
  </si>
  <si>
    <t>STR3</t>
  </si>
  <si>
    <t>STR4</t>
  </si>
  <si>
    <t>STR5</t>
  </si>
  <si>
    <t>STR6</t>
  </si>
  <si>
    <t>STR7</t>
  </si>
  <si>
    <t>STR8</t>
  </si>
  <si>
    <t>STR9</t>
  </si>
  <si>
    <t>STR10</t>
  </si>
  <si>
    <t>STR11</t>
  </si>
  <si>
    <t>STR12</t>
  </si>
  <si>
    <t>STR13</t>
  </si>
  <si>
    <t>STR14</t>
  </si>
  <si>
    <t>STR15</t>
  </si>
  <si>
    <t>STR16</t>
  </si>
  <si>
    <t>STR17</t>
  </si>
  <si>
    <t>STR18</t>
  </si>
  <si>
    <t>STR19</t>
  </si>
  <si>
    <t>STR20</t>
  </si>
  <si>
    <t>STR21</t>
  </si>
  <si>
    <t>STR22</t>
  </si>
  <si>
    <t>STR23</t>
  </si>
  <si>
    <t>STR24</t>
  </si>
  <si>
    <t>STR25</t>
  </si>
  <si>
    <t>STR26</t>
  </si>
  <si>
    <t>STR27</t>
  </si>
  <si>
    <t>STR28</t>
  </si>
  <si>
    <t>STR29</t>
  </si>
  <si>
    <t>STR30</t>
  </si>
  <si>
    <t>INT1</t>
  </si>
  <si>
    <t>INT2</t>
  </si>
  <si>
    <t>INT3</t>
  </si>
  <si>
    <t>INT4</t>
  </si>
  <si>
    <t>INT5</t>
  </si>
  <si>
    <t>DOU1</t>
  </si>
  <si>
    <t>BOO1</t>
  </si>
  <si>
    <t>VAR1</t>
  </si>
  <si>
    <t>DOU2</t>
  </si>
  <si>
    <t>DOU3</t>
  </si>
  <si>
    <t>DOU4</t>
  </si>
  <si>
    <t>DOU5</t>
  </si>
  <si>
    <t>BOO2</t>
  </si>
  <si>
    <t>BOO3</t>
  </si>
  <si>
    <t>BOO4</t>
  </si>
  <si>
    <t>BOO5</t>
  </si>
  <si>
    <t>VAR2</t>
  </si>
  <si>
    <t>VAR3</t>
  </si>
  <si>
    <t>VAR4</t>
  </si>
  <si>
    <t>VAR5</t>
  </si>
  <si>
    <t>Settings</t>
  </si>
  <si>
    <t>Row Height</t>
  </si>
  <si>
    <t>RowNb Img</t>
  </si>
  <si>
    <t>ColNb Img</t>
  </si>
  <si>
    <t>Nb Copy</t>
  </si>
  <si>
    <t>Board Img</t>
  </si>
  <si>
    <t>Program Name</t>
  </si>
  <si>
    <t>ProgID</t>
  </si>
  <si>
    <t>ScrapX</t>
  </si>
  <si>
    <t>ScrapY</t>
  </si>
  <si>
    <t>Supplier</t>
  </si>
  <si>
    <t>Reference</t>
  </si>
  <si>
    <t>m²</t>
  </si>
  <si>
    <t>Stocks</t>
  </si>
  <si>
    <t>m</t>
  </si>
  <si>
    <t>Insert Pictures</t>
  </si>
  <si>
    <t>FirstRow</t>
  </si>
  <si>
    <t>Programme</t>
  </si>
  <si>
    <t>Tps (s)</t>
  </si>
  <si>
    <t>Prg</t>
  </si>
  <si>
    <t>ml</t>
  </si>
  <si>
    <t>m3</t>
  </si>
  <si>
    <t>Tot Unit</t>
  </si>
  <si>
    <t>: Ref Company</t>
  </si>
  <si>
    <t>: Ref Customer</t>
  </si>
  <si>
    <t>PARTLIST</t>
  </si>
  <si>
    <t>Picture</t>
  </si>
  <si>
    <t>Part</t>
  </si>
  <si>
    <t>Dimensions (mm)</t>
  </si>
  <si>
    <t>Qty (U)</t>
  </si>
  <si>
    <t>Edgebands</t>
  </si>
  <si>
    <t>Laminate</t>
  </si>
  <si>
    <t>Length</t>
  </si>
  <si>
    <t>T</t>
  </si>
  <si>
    <t>L</t>
  </si>
  <si>
    <t>W</t>
  </si>
  <si>
    <t>F</t>
  </si>
  <si>
    <t>B</t>
  </si>
  <si>
    <t>R</t>
  </si>
  <si>
    <t>TOP</t>
  </si>
  <si>
    <t>BOT</t>
  </si>
  <si>
    <t>HARDWARES</t>
  </si>
  <si>
    <t>Name</t>
  </si>
  <si>
    <t>Qty</t>
  </si>
  <si>
    <t>Unit Cost</t>
  </si>
  <si>
    <t>Total Cost</t>
  </si>
  <si>
    <t>Num Pan</t>
  </si>
  <si>
    <t>Feature</t>
  </si>
  <si>
    <t>Cost Type</t>
  </si>
  <si>
    <t>Unit</t>
  </si>
  <si>
    <t>HiddenSheet</t>
  </si>
  <si>
    <t>RowFirst Img</t>
  </si>
  <si>
    <t>ColFirst Img</t>
  </si>
  <si>
    <t/>
  </si>
  <si>
    <t>Supplier Ref</t>
  </si>
  <si>
    <t>Edgebands - m</t>
  </si>
  <si>
    <t>Hardwares</t>
  </si>
  <si>
    <t>Data</t>
  </si>
  <si>
    <t>Tot_Unit</t>
  </si>
  <si>
    <t>Total_Cost</t>
  </si>
  <si>
    <t>Tot_ml</t>
  </si>
  <si>
    <t>Tot_Qty</t>
  </si>
  <si>
    <t>(blank)</t>
  </si>
  <si>
    <t>Grand Total</t>
  </si>
  <si>
    <t>STR1-[NAME]</t>
  </si>
  <si>
    <t>STR2-[IMGSTOCK.DOC_PATH]</t>
  </si>
  <si>
    <t>STR3-[NUM_PANEL]</t>
  </si>
  <si>
    <t>STR4-[NB]</t>
  </si>
  <si>
    <t>STR5-[ST_MATO.MAT_NAME]</t>
  </si>
  <si>
    <t>STR6-[ST_L]</t>
  </si>
  <si>
    <t>STR7-[ST_W]</t>
  </si>
  <si>
    <t>STR8-[ST_T]</t>
  </si>
  <si>
    <t>STR9-[ST_MATO.SUPPLIER]</t>
  </si>
  <si>
    <t>STR10-[ST_MATO.SUPPLIER_REF]</t>
  </si>
  <si>
    <t>STR11-[ST_N]</t>
  </si>
  <si>
    <t>STR12-[ST_MATO.MAT_UCOST]</t>
  </si>
  <si>
    <t>STR13-[ST_MATO.MAT_COSTTYPE]</t>
  </si>
  <si>
    <t>IMG1-[IMGSTOCK.DOC_PATH]</t>
  </si>
  <si>
    <t>STOCK_CORE</t>
  </si>
  <si>
    <t>STR2-[IMGPANELMAIN.DOC_PATH]</t>
  </si>
  <si>
    <t>STR4-1</t>
  </si>
  <si>
    <t>STR5-[EB_EBMATO.EBMAT_C]</t>
  </si>
  <si>
    <t>STR6-[EB_L]</t>
  </si>
  <si>
    <t>STR7-[EB_N]</t>
  </si>
  <si>
    <t>STR8-[EB_EBMATO.EBMAT_T]</t>
  </si>
  <si>
    <t>STR9-[EB_EBMATO.SUPPLIER]</t>
  </si>
  <si>
    <t>STR10-[EB_EBMATO.SUPPLIER_REF]</t>
  </si>
  <si>
    <t>STR11-[EB_EBMATO.EBMAT_UCOST]</t>
  </si>
  <si>
    <t>IMG1-[IMGPANELMAIN.DOC_PATH]</t>
  </si>
  <si>
    <t>EDGEBAND</t>
  </si>
  <si>
    <t>STR1-[NAME]-[DESC]</t>
  </si>
  <si>
    <t>STR2-[NB]</t>
  </si>
  <si>
    <t>STR3-[TO_Q_F]</t>
  </si>
  <si>
    <t>STR4-[TO_Q_R]</t>
  </si>
  <si>
    <t>STR5-[TO_Q_P]</t>
  </si>
  <si>
    <t>STR6-[TO_Q_PC]</t>
  </si>
  <si>
    <t>STR7-[TO_Q_UC]</t>
  </si>
  <si>
    <t>STR8-[QTY]</t>
  </si>
  <si>
    <t>STR9-[IMGHARDWARE.DOC_PATH]</t>
  </si>
  <si>
    <t>IMG1-[IMGHARDWARE.DOC_PATH]</t>
  </si>
  <si>
    <t>HARDWARE</t>
  </si>
  <si>
    <t>STR1-[IMGPANELMAIN.DOC_PATH]</t>
  </si>
  <si>
    <t>LABEL</t>
  </si>
  <si>
    <t>STR4-[PANEL.PAN_STL]</t>
  </si>
  <si>
    <t>STR5-[PANEL.PAN_STW]</t>
  </si>
  <si>
    <t>STR6-[PANEL.PAN_STT]</t>
  </si>
  <si>
    <t>STR7-[NB]</t>
  </si>
  <si>
    <t>STR8-[PAN_EBF.EB_EBMATO.EBMAT_C]</t>
  </si>
  <si>
    <t>STR9-[PAN_EBB.EB_EBMATO.EBMAT_C]</t>
  </si>
  <si>
    <t>STR10-[PAN_EBL.EB_EBMATO.EBMAT_C]</t>
  </si>
  <si>
    <t>STR11-[PAN_EBR.EB_EBMATO.EBMAT_C]</t>
  </si>
  <si>
    <t>STR12-[PAN_LAMTOP.ST_MATO.MAT_NAME]</t>
  </si>
  <si>
    <t>STR13-[PAN_LAMBOT.ST_MATO.MAT_NAME]</t>
  </si>
  <si>
    <t>STR15-[PROGRAM1.PROGTPS]</t>
  </si>
  <si>
    <t>STR17-[PAN_CORESTOCK.ST_MATO.MATSUPPLIER]</t>
  </si>
  <si>
    <t>SETTINGS_HNB_COPY</t>
  </si>
  <si>
    <t>SETTINGS_HIDDEN_SHEET</t>
  </si>
  <si>
    <t>Usefull Macros</t>
  </si>
  <si>
    <t>Template XML FullPath</t>
  </si>
  <si>
    <t>Debug XML</t>
  </si>
  <si>
    <t>Tips and Tricks</t>
  </si>
  <si>
    <t>Access to the name manager</t>
  </si>
  <si>
    <t>Ctrl+F3</t>
  </si>
  <si>
    <t>Common Issues</t>
  </si>
  <si>
    <t>The picture inserted is not correct even if the XML is correct</t>
  </si>
  <si>
    <t>Two named cells may refer to the cell Excel cell. So two pictures are inserted on the same cell. Control if on this Excel Cell two references are associated: Ctrl+F3</t>
  </si>
  <si>
    <t>The value inserted is not correct even if the XML is correct</t>
  </si>
  <si>
    <t>Two named cells may refer to the cell Excel cell. So the second reference overwrite the first value. Control if on this Excel Cell two references are associated: Ctrl+F3</t>
  </si>
  <si>
    <t>SETTINGS_ALWAYS_COPY_LAST</t>
  </si>
  <si>
    <t>Material Supplier</t>
  </si>
  <si>
    <t>Fill XML Template</t>
  </si>
  <si>
    <t>Object:</t>
  </si>
  <si>
    <t>Create the named cells usable according the values filled in the template</t>
  </si>
  <si>
    <t>Warning:</t>
  </si>
  <si>
    <t>The templates sheets "Tp_*" must exist in the document</t>
  </si>
  <si>
    <t>For each named cells if the cell exist the value is filled with the name of the XML tag and the content of the XML</t>
  </si>
  <si>
    <t>Example:</t>
  </si>
  <si>
    <t>On tips to avoid to completly fill all the named cells is to copy your XML template and keep inside only the GENERIC bloc your really want to create in the Excel sheet.</t>
  </si>
  <si>
    <t>Arithmetic operation in XML</t>
  </si>
  <si>
    <t>Part Number</t>
  </si>
  <si>
    <t xml:space="preserve"> PARENT</t>
  </si>
  <si>
    <t>HARDWARE PARENT</t>
  </si>
  <si>
    <t>ZONECAB.STR1-[TO_CABINET_NAME]</t>
  </si>
  <si>
    <t>ZONECAB.STR2-[TO_CAB_POS_EXT]</t>
  </si>
  <si>
    <t>ZONECAB.STR3-[NB]</t>
  </si>
  <si>
    <t>ZONEPART.STR2-[DESC]</t>
  </si>
  <si>
    <t>ZONEPART.STR3-[PAN_CORESTOCK.ST_MATO.MAT_NAME]</t>
  </si>
  <si>
    <t>ZONEPART.STR4-[PANEL.PAN_STL]</t>
  </si>
  <si>
    <t>ZONEPART.STR5-[PANEL.PAN_STW]</t>
  </si>
  <si>
    <t>ZONEPART.STR6-[PANEL.PAN_STT]</t>
  </si>
  <si>
    <t>ZONEPART.STR7-[NB]</t>
  </si>
  <si>
    <t>ZONEPART.STR8-[PAN_EBF.EB_EBMATO.EBMAT_C]</t>
  </si>
  <si>
    <t>ZONEPART.STR9-[PAN_EBB.EB_EBMATO.EBMAT_C]</t>
  </si>
  <si>
    <t>ZONEPART.STR10-[PAN_EBL.EB_EBMATO.EBMAT_C]</t>
  </si>
  <si>
    <t>ZONEPART.STR11-[PAN_EBR.EB_EBMATO.EBMAT_C]</t>
  </si>
  <si>
    <t>ZONEPART.STR12-[PAN_LAMTOP.ST_MATO.MAT_NAME]</t>
  </si>
  <si>
    <t>ZONEPART.STR13-[PAN_LAMBOT.ST_MATO.MAT_NAME]</t>
  </si>
  <si>
    <t>ZONEPART.STR14-[PROGRAM1.PROGNAME]</t>
  </si>
  <si>
    <t>ZONEPART.STR15-[PROGRAM1.PROGTPS]</t>
  </si>
  <si>
    <t>ZONEPART.STR17-[PAN_CORESTOCK.ST_MATO.MATSUPPLIER]</t>
  </si>
  <si>
    <t>ZONEPART.PARENT.STR1-[TO_CABINET_NAME]</t>
  </si>
  <si>
    <t>ZONEPART.PARENT.STR2-[TO_CAB_POS_EXT]</t>
  </si>
  <si>
    <t>ZONEPART.PARENT.STR3-[NB]</t>
  </si>
  <si>
    <t>ZONEHA_TITLE.PARENT.STR1-[TO_CABINET_NAME]</t>
  </si>
  <si>
    <t>ZONEHA_TITLE.PARENT.STR2-[TO_CAB_POS_EXT]</t>
  </si>
  <si>
    <t>ZONEHA_TITLE.PARENT.STR3-[NB]</t>
  </si>
  <si>
    <t>HARDWARE TITLE PARENT</t>
  </si>
  <si>
    <t>ZONEHA.STR2-[TO_Q_UC]</t>
  </si>
  <si>
    <t>ZONEHA.STR3-[TO_Q_F]</t>
  </si>
  <si>
    <t>ZONEHA.PARENT.STR1-[TO_CABINET_NAME]</t>
  </si>
  <si>
    <t>ZONEHA.PARENT.STR2-[TO_CAB_POS_EXT]</t>
  </si>
  <si>
    <t>ZONEHA.PARENT.STR3-[NB]</t>
  </si>
  <si>
    <t>ZONEHA.STR5-[REFCOUNT]</t>
  </si>
  <si>
    <t>Supplier Reference</t>
  </si>
  <si>
    <t>Panels</t>
  </si>
  <si>
    <t>ZONEPART.STR16-[PRJNUM]</t>
  </si>
  <si>
    <t>MULTIBODIES PARTLIST</t>
  </si>
  <si>
    <t>ZONEPART.STR1-[NAME]</t>
  </si>
  <si>
    <t>ZONEPART.IMG1-[IMGMULTIBODYPART]</t>
  </si>
  <si>
    <t>ZONEMULTIBODIES.STR1-[ST_N]</t>
  </si>
  <si>
    <t>ZONEMULTIBODIES.STR2-[ST_L]</t>
  </si>
  <si>
    <t>ZONEMULTIBODIES.STR3-[ST_W]</t>
  </si>
  <si>
    <t>ZONEMULTIBODIES.STR4-[ST_T]</t>
  </si>
  <si>
    <t>ZONEMULTIBODIES.STR5-[ST_MATO.MAT_NAME]</t>
  </si>
  <si>
    <t>ZONEMULTIBODIES.IMG1-[IMGPANELSTOCK]</t>
  </si>
  <si>
    <t>ZONEMULTIBODIES.PARENT.STR1-[NAME]</t>
  </si>
  <si>
    <t>ZONEMULTIBODIES.PARENT.IMG1-[IMGMULTIBODYPART]</t>
  </si>
  <si>
    <t>ZONEMULTIBODIES.STR6-1</t>
  </si>
  <si>
    <t>ZONEPART.STR2-[NB]</t>
  </si>
  <si>
    <t>ZONEMULTIBODIES.PARENT.STR2-[NB]</t>
  </si>
  <si>
    <t>Program</t>
  </si>
  <si>
    <t>Comment</t>
  </si>
  <si>
    <t>Path</t>
  </si>
  <si>
    <t>ZONECAB.IMG1-[IMGCABINET]</t>
  </si>
  <si>
    <t>ZONEPART_TITLE.STR1-0</t>
  </si>
  <si>
    <t>PANELLIST TITLE</t>
  </si>
  <si>
    <t>ZONEPART_TITLE.PARENT.STR1-[TO_CABINET_NAME]</t>
  </si>
  <si>
    <t>ZONEPART_TITLE.PARENT.STR2-[TO_CAB_POS_EXT]</t>
  </si>
  <si>
    <t>ZONEPART_TITLE.PARENT.STR3-[NB]</t>
  </si>
  <si>
    <t>ZONEPART_TITLE.PARENT.IMG1-[IMGCABINET]</t>
  </si>
  <si>
    <t>PANELLIST TITLE PARENT</t>
  </si>
  <si>
    <t>ZONEPART.STR18-[NUM_PANEL_EXT]</t>
  </si>
  <si>
    <t>ZONEPART.IMG1-[IMGPANELMAIN]</t>
  </si>
  <si>
    <t>ZONEPART.PARENT.IMG1-[IMGCABINET]</t>
  </si>
  <si>
    <t>ZONEPROGRAM_TITLE.PARENT.STR1-[NAME]</t>
  </si>
  <si>
    <t>ZONEPROGRAM_TITLE.PARENT.STR2-[DESC]</t>
  </si>
  <si>
    <t>ZONEPROGRAM_TITLE.PARENT.STR3-[PAN_CORESTOCK.ST_MATO.MAT_NAME]</t>
  </si>
  <si>
    <t>ZONEPROGRAM_TITLE.PARENT.STR4-[PANEL.PAN_STL]</t>
  </si>
  <si>
    <t>ZONEPROGRAM_TITLE.PARENT.STR5-[PANEL.PAN_STW]</t>
  </si>
  <si>
    <t>ZONEPROGRAM_TITLE.PARENT.STR6-[PANEL.PAN_STT]</t>
  </si>
  <si>
    <t>ZONEPROGRAM_TITLE.PARENT.STR7-[NB]</t>
  </si>
  <si>
    <t>ZONEPROGRAM_TITLE.PARENT.STR8-[PAN_EBF.EB_EBMATO.EBMAT_C]</t>
  </si>
  <si>
    <t>ZONEPROGRAM_TITLE.PARENT.STR9-[PAN_EBB.EB_EBMATO.EBMAT_C]</t>
  </si>
  <si>
    <t>ZONEPROGRAM_TITLE.PARENT.STR10-[PAN_EBL.EB_EBMATO.EBMAT_C]</t>
  </si>
  <si>
    <t>ZONEPROGRAM_TITLE.PARENT.STR11-[PAN_EBR.EB_EBMATO.EBMAT_C]</t>
  </si>
  <si>
    <t>ZONEPROGRAM_TITLE.PARENT.STR12-[PAN_LAMTOP.ST_MATO.MAT_NAME]</t>
  </si>
  <si>
    <t>ZONEPROGRAM_TITLE.PARENT.STR13-[PAN_LAMBOT.ST_MATO.MAT_NAME]</t>
  </si>
  <si>
    <t>ZONEPROGRAM_TITLE.PARENT.STR14-[PROGRAM1.PROGNAME]</t>
  </si>
  <si>
    <t>ZONEPROGRAM_TITLE.PARENT.STR15-[PROGRAM1.PROGTPS]</t>
  </si>
  <si>
    <t>ZONEPROGRAM_TITLE.PARENT.STR16-[PRJNUM]</t>
  </si>
  <si>
    <t>ZONEPROGRAM_TITLE.PARENT.STR17-[PAN_CORESTOCK.ST_MATO.MATSUPPLIER]</t>
  </si>
  <si>
    <t>ZONEPROGRAM_TITLE.PARENT.STR18-[NUM_PANEL_EXT]</t>
  </si>
  <si>
    <t>ZONEPROGRAM_TITLE.PARENT.IMG1-[IMGPANELMAIN]</t>
  </si>
  <si>
    <t>PROGRAMS TITLE PARENT</t>
  </si>
  <si>
    <t>ZONEPROGRAM_TITLE.PARENT.PARENT.STR1-[TO_CABINET_NAME]</t>
  </si>
  <si>
    <t>ZONEPROGRAM_TITLE.PARENT.PARENT.STR2-[TO_CAB_POS_EXT]</t>
  </si>
  <si>
    <t>ZONEPROGRAM_TITLE.PARENT.PARENT.STR3-[NB]</t>
  </si>
  <si>
    <t>ZONEPROGRAM_TITLE.PARENT.PARENT.IMG1-[IMGCABINET]</t>
  </si>
  <si>
    <t>ZONEPROGRAM.STR1-[PROGNAME]</t>
  </si>
  <si>
    <t>ZONEPROGRAM.STR2-[PROGBX]</t>
  </si>
  <si>
    <t>ZONEPROGRAM.STR3-[PROGBY]</t>
  </si>
  <si>
    <t>ZONEPROGRAM.STR4-[PROGBZ]</t>
  </si>
  <si>
    <t>ZONEPROGRAM.STR5-[PROGTPS]</t>
  </si>
  <si>
    <t>ZONEPROGRAM.STR6-[PROGCOMMENT]</t>
  </si>
  <si>
    <t>ZONEPROGRAM.STR7-[PROGPATH]</t>
  </si>
  <si>
    <t>ZONEPROGRAM.IMG1-[IMGPROGRAM]</t>
  </si>
  <si>
    <t>ZONEPROGRAM.PARENT.STR1-[NAME]</t>
  </si>
  <si>
    <t>ZONEPROGRAM.PARENT.STR2-[DESC]</t>
  </si>
  <si>
    <t>ZONEPROGRAM.PARENT.STR3-[PAN_CORESTOCK.ST_MATO.MAT_NAME]</t>
  </si>
  <si>
    <t>ZONEPROGRAM.PARENT.STR4-[PANEL.PAN_STL]</t>
  </si>
  <si>
    <t>ZONEPROGRAM.PARENT.STR5-[PANEL.PAN_STW]</t>
  </si>
  <si>
    <t>ZONEPROGRAM.PARENT.STR6-[PANEL.PAN_STT]</t>
  </si>
  <si>
    <t>ZONEPROGRAM.PARENT.STR7-[NB]</t>
  </si>
  <si>
    <t>ZONEPROGRAM.PARENT.STR8-[PAN_EBF.EB_EBMATO.EBMAT_C]</t>
  </si>
  <si>
    <t>ZONEPROGRAM.PARENT.STR9-[PAN_EBB.EB_EBMATO.EBMAT_C]</t>
  </si>
  <si>
    <t>ZONEPROGRAM.PARENT.STR10-[PAN_EBL.EB_EBMATO.EBMAT_C]</t>
  </si>
  <si>
    <t>ZONEPROGRAM.PARENT.STR11-[PAN_EBR.EB_EBMATO.EBMAT_C]</t>
  </si>
  <si>
    <t>ZONEPROGRAM.PARENT.STR12-[PAN_LAMTOP.ST_MATO.MAT_NAME]</t>
  </si>
  <si>
    <t>ZONEPROGRAM.PARENT.STR13-[PAN_LAMBOT.ST_MATO.MAT_NAME]</t>
  </si>
  <si>
    <t>ZONEPROGRAM.PARENT.STR14-[PROGRAM1.PROGNAME]</t>
  </si>
  <si>
    <t>ZONEPROGRAM.PARENT.STR15-[PROGRAM1.PROGTPS]</t>
  </si>
  <si>
    <t>ZONEPROGRAM.PARENT.STR16-[PRJNUM]</t>
  </si>
  <si>
    <t>ZONEPROGRAM.PARENT.STR17-[PAN_CORESTOCK.ST_MATO.MATSUPPLIER]</t>
  </si>
  <si>
    <t>ZONEPROGRAM.PARENT.STR18-[NUM_PANEL_EXT]</t>
  </si>
  <si>
    <t>ZONEPROGRAM.PARENT.IMG1-[IMGPANELMAIN]</t>
  </si>
  <si>
    <t>ZONEPROGRAM.PARENT.PARENT.STR1-[TO_CABINET_NAME]</t>
  </si>
  <si>
    <t>ZONEPROGRAM.PARENT.PARENT.STR2-[TO_CAB_POS_EXT]</t>
  </si>
  <si>
    <t>ZONEPROGRAM.PARENT.PARENT.STR3-[NB]</t>
  </si>
  <si>
    <t>ZONEPROGRAM.PARENT.PARENT.IMG1-[IMGCABINET]</t>
  </si>
  <si>
    <t>ZONEHA_TITLE.STR1-0</t>
  </si>
  <si>
    <t>HARDWARE TITLE</t>
  </si>
  <si>
    <t>ZONEHA_TITLE.PARENT.IMG1-[IMGCABINET]</t>
  </si>
  <si>
    <t>ZONEHA.STR1-[TO_Q_R]</t>
  </si>
  <si>
    <t>ZONEHA.STR4-[TO_Q_CODE]</t>
  </si>
  <si>
    <t>ZONEHA.IMG1-[IMGHARDWARE]</t>
  </si>
  <si>
    <t>ZONEHA.PARENT.IMG1-[IMGCABINET]</t>
  </si>
  <si>
    <t>Time</t>
  </si>
  <si>
    <t>Programs</t>
  </si>
  <si>
    <t>LISTINGS BY PRODUCT</t>
  </si>
  <si>
    <t>Stock Number</t>
  </si>
  <si>
    <t>ZONESTOCK_TITLE.STR1-0</t>
  </si>
  <si>
    <t>STOCKS TITLE</t>
  </si>
  <si>
    <t>ZONESTOCK_TITLE.PARENT.STR1-[NAME]</t>
  </si>
  <si>
    <t>ZONESTOCK_TITLE.PARENT.STR2-[DESC]</t>
  </si>
  <si>
    <t>ZONESTOCK_TITLE.PARENT.STR3-[PAN_CORESTOCK.ST_MATO.MAT_NAME]</t>
  </si>
  <si>
    <t>ZONESTOCK_TITLE.PARENT.STR4-[PANEL.PAN_STL]</t>
  </si>
  <si>
    <t>ZONESTOCK_TITLE.PARENT.STR5-[PANEL.PAN_STW]</t>
  </si>
  <si>
    <t>ZONESTOCK_TITLE.PARENT.STR6-[PANEL.PAN_STT]</t>
  </si>
  <si>
    <t>ZONESTOCK_TITLE.PARENT.STR7-[NB]</t>
  </si>
  <si>
    <t>ZONESTOCK_TITLE.PARENT.STR8-[PAN_EBF.EB_EBMATO.EBMAT_C]</t>
  </si>
  <si>
    <t>ZONESTOCK_TITLE.PARENT.STR9-[PAN_EBB.EB_EBMATO.EBMAT_C]</t>
  </si>
  <si>
    <t>ZONESTOCK_TITLE.PARENT.STR10-[PAN_EBL.EB_EBMATO.EBMAT_C]</t>
  </si>
  <si>
    <t>ZONESTOCK_TITLE.PARENT.STR11-[PAN_EBR.EB_EBMATO.EBMAT_C]</t>
  </si>
  <si>
    <t>ZONESTOCK_TITLE.PARENT.STR12-[PAN_LAMTOP.ST_MATO.MAT_NAME]</t>
  </si>
  <si>
    <t>ZONESTOCK_TITLE.PARENT.STR13-[PAN_LAMBOT.ST_MATO.MAT_NAME]</t>
  </si>
  <si>
    <t>ZONESTOCK_TITLE.PARENT.STR14-[PROGRAM1.PROGNAME]</t>
  </si>
  <si>
    <t>ZONESTOCK_TITLE.PARENT.STR15-[PROGRAM1.PROGTPS]</t>
  </si>
  <si>
    <t>ZONESTOCK_TITLE.PARENT.STR16-[PRJNUM]</t>
  </si>
  <si>
    <t>ZONESTOCK_TITLE.PARENT.STR17-[PAN_CORESTOCK.ST_MATO.MATSUPPLIER]</t>
  </si>
  <si>
    <t>ZONESTOCK_TITLE.PARENT.STR18-[NUM_PANEL_EXT]</t>
  </si>
  <si>
    <t>ZONESTOCK_TITLE.PARENT.IMG1-[IMGPANELMAIN]</t>
  </si>
  <si>
    <t>STOCKS TITLE PARENT</t>
  </si>
  <si>
    <t>ZONESTOCK_TITLE.PARENT.PARENT.STR1-[TO_CABINET_NAME]</t>
  </si>
  <si>
    <t>ZONESTOCK_TITLE.PARENT.PARENT.STR2-[TO_CAB_POS_EXT]</t>
  </si>
  <si>
    <t>ZONESTOCK_TITLE.PARENT.PARENT.STR3-[NB]</t>
  </si>
  <si>
    <t>ZONESTOCK_TITLE.PARENT.PARENT.IMG1-[IMGCABINET]</t>
  </si>
  <si>
    <t>ZONESTOCK.STR1-[NUM_PANEL_EXT]</t>
  </si>
  <si>
    <t>ZONESTOCK.STR2-[ST_MATO.MAT_NAME]</t>
  </si>
  <si>
    <t>ZONESTOCK.STR3-[ST_MATO.SUPPLIER]</t>
  </si>
  <si>
    <t>ZONESTOCK.STR4-[ST_L]</t>
  </si>
  <si>
    <t>ZONESTOCK.STR5-[ST_W]</t>
  </si>
  <si>
    <t>ZONESTOCK.STR6-[ST_T]</t>
  </si>
  <si>
    <t>ZONESTOCK.STR7-[NB]</t>
  </si>
  <si>
    <t>ZONESTOCK.IMG1-[IMGSTOCK]</t>
  </si>
  <si>
    <t>ZONESTOCK.PARENT.STR1-[NAME]</t>
  </si>
  <si>
    <t>ZONESTOCK.PARENT.STR2-[DESC]</t>
  </si>
  <si>
    <t>ZONESTOCK.PARENT.STR3-[PAN_CORESTOCK.ST_MATO.MAT_NAME]</t>
  </si>
  <si>
    <t>ZONESTOCK.PARENT.STR4-[PANEL.PAN_STL]</t>
  </si>
  <si>
    <t>ZONESTOCK.PARENT.STR5-[PANEL.PAN_STW]</t>
  </si>
  <si>
    <t>ZONESTOCK.PARENT.STR6-[PANEL.PAN_STT]</t>
  </si>
  <si>
    <t>ZONESTOCK.PARENT.STR7-[NB]</t>
  </si>
  <si>
    <t>ZONESTOCK.PARENT.STR8-[PAN_EBF.EB_EBMATO.EBMAT_C]</t>
  </si>
  <si>
    <t>ZONESTOCK.PARENT.STR9-[PAN_EBB.EB_EBMATO.EBMAT_C]</t>
  </si>
  <si>
    <t>ZONESTOCK.PARENT.STR10-[PAN_EBL.EB_EBMATO.EBMAT_C]</t>
  </si>
  <si>
    <t>ZONESTOCK.PARENT.STR11-[PAN_EBR.EB_EBMATO.EBMAT_C]</t>
  </si>
  <si>
    <t>ZONESTOCK.PARENT.STR12-[PAN_LAMTOP.ST_MATO.MAT_NAME]</t>
  </si>
  <si>
    <t>ZONESTOCK.PARENT.STR13-[PAN_LAMBOT.ST_MATO.MAT_NAME]</t>
  </si>
  <si>
    <t>ZONESTOCK.PARENT.STR14-[PROGRAM1.PROGNAME]</t>
  </si>
  <si>
    <t>ZONESTOCK.PARENT.STR15-[PROGRAM1.PROGTPS]</t>
  </si>
  <si>
    <t>ZONESTOCK.PARENT.STR16-[PRJNUM]</t>
  </si>
  <si>
    <t>ZONESTOCK.PARENT.STR17-[PAN_CORESTOCK.ST_MATO.MATSUPPLIER]</t>
  </si>
  <si>
    <t>ZONESTOCK.PARENT.STR18-[NUM_PANEL_EXT]</t>
  </si>
  <si>
    <t>ZONESTOCK.PARENT.IMG1-[IMGPANELMAIN]</t>
  </si>
  <si>
    <t>ZONESTOCK.PARENT.PARENT.STR1-[TO_CABINET_NAME]</t>
  </si>
  <si>
    <t>ZONESTOCK.PARENT.PARENT.STR2-[TO_CAB_POS_EXT]</t>
  </si>
  <si>
    <t>ZONESTOCK.PARENT.PARENT.STR3-[NB]</t>
  </si>
  <si>
    <t>ZONESTOCK.PARENT.PARENT.IMG1-[IMGCABINET]</t>
  </si>
  <si>
    <t>ZONEPROGRAM_TITLE.STR1-0</t>
  </si>
  <si>
    <t>PROGRAMS TITLE</t>
  </si>
  <si>
    <t>-</t>
  </si>
  <si>
    <t>EN</t>
  </si>
  <si>
    <t>FR</t>
  </si>
  <si>
    <t>IT</t>
  </si>
  <si>
    <t>Image</t>
  </si>
  <si>
    <t>Nom</t>
  </si>
  <si>
    <t>Pièce</t>
  </si>
  <si>
    <t>Matériau</t>
  </si>
  <si>
    <t>Numéro de pièce</t>
  </si>
  <si>
    <t>Fournisseur Matériau</t>
  </si>
  <si>
    <t>Qté (U)</t>
  </si>
  <si>
    <t>Chants</t>
  </si>
  <si>
    <t>Stratifié</t>
  </si>
  <si>
    <t>Programmes</t>
  </si>
  <si>
    <t>DESSUS</t>
  </si>
  <si>
    <t>DESSOUS</t>
  </si>
  <si>
    <t>Language</t>
  </si>
  <si>
    <t>Fournisseur</t>
  </si>
  <si>
    <t>Qté</t>
  </si>
  <si>
    <t>Coût Unitaire</t>
  </si>
  <si>
    <t>Coût Total</t>
  </si>
  <si>
    <t>Ref Fournisseur</t>
  </si>
  <si>
    <t>LISTE PIECES MULTICORPS</t>
  </si>
  <si>
    <t>LISTES PAR PRODUIT</t>
  </si>
  <si>
    <t>Materiale</t>
  </si>
  <si>
    <t>Temps</t>
  </si>
  <si>
    <t>Commentaire</t>
  </si>
  <si>
    <t>Chemin</t>
  </si>
  <si>
    <t>Quincailleries</t>
  </si>
  <si>
    <t>Débits</t>
  </si>
  <si>
    <t>Panneaux</t>
  </si>
  <si>
    <t>: Date</t>
  </si>
  <si>
    <t>: Ref Entreprise</t>
  </si>
  <si>
    <t>: Ref Client</t>
  </si>
  <si>
    <t>Reference Fournisseur</t>
  </si>
  <si>
    <t>Numéro Débit</t>
  </si>
  <si>
    <t>Lo</t>
  </si>
  <si>
    <t>La</t>
  </si>
  <si>
    <t>Ep</t>
  </si>
  <si>
    <t>Av</t>
  </si>
  <si>
    <t>Ar</t>
  </si>
  <si>
    <t>G</t>
  </si>
  <si>
    <t>D</t>
  </si>
  <si>
    <t xml:space="preserve">           </t>
  </si>
  <si>
    <t>Parts</t>
  </si>
  <si>
    <t>Pièces</t>
  </si>
  <si>
    <t>Finish</t>
  </si>
  <si>
    <t>图片</t>
  </si>
  <si>
    <t>名称</t>
  </si>
  <si>
    <t>零件</t>
  </si>
  <si>
    <t>材料</t>
  </si>
  <si>
    <t>零件编号</t>
  </si>
  <si>
    <t>材料供应商</t>
  </si>
  <si>
    <t>尺寸 (mm)</t>
  </si>
  <si>
    <t>数量 (U)</t>
  </si>
  <si>
    <t>封边</t>
  </si>
  <si>
    <t>贴面</t>
  </si>
  <si>
    <t>加工程序</t>
  </si>
  <si>
    <t>多个加工工序</t>
  </si>
  <si>
    <t>顶面</t>
  </si>
  <si>
    <t>地面</t>
  </si>
  <si>
    <t>程序</t>
  </si>
  <si>
    <t>时间 (s)</t>
  </si>
  <si>
    <t>供应商</t>
  </si>
  <si>
    <t>供应商 代号</t>
  </si>
  <si>
    <t>单价</t>
  </si>
  <si>
    <t>总价</t>
  </si>
  <si>
    <t>多零件产品</t>
  </si>
  <si>
    <t>产品列表</t>
  </si>
  <si>
    <t>注释</t>
  </si>
  <si>
    <t>路径</t>
  </si>
  <si>
    <t>五金</t>
  </si>
  <si>
    <t>毛料</t>
  </si>
  <si>
    <t>板材</t>
  </si>
  <si>
    <t>日期</t>
  </si>
  <si>
    <t>公司代号</t>
  </si>
  <si>
    <t>客户代号</t>
  </si>
  <si>
    <t>供应商 信息</t>
  </si>
  <si>
    <t>毛料编号</t>
  </si>
  <si>
    <t>长度</t>
  </si>
  <si>
    <t>宽度</t>
  </si>
  <si>
    <t>厚度</t>
  </si>
  <si>
    <t>前</t>
  </si>
  <si>
    <t>后</t>
  </si>
  <si>
    <t>左</t>
  </si>
  <si>
    <t>右</t>
  </si>
  <si>
    <t>CN</t>
  </si>
  <si>
    <t>D:\1D\DOCS\TECHNIQUE\USERSWOOD\2020_SWOOD\1_LIBRARIES\1_PARTNERS\SWOODData\DAT\Documents\XLS\ReportLists_to_Excel_FillXML.xml</t>
  </si>
  <si>
    <t>STR1-[NOM]</t>
  </si>
  <si>
    <t>STR16-[PROJNOM]</t>
  </si>
  <si>
    <t>STR19-[PAN_EBF.EB_EBMATO.EBMAT_T]</t>
  </si>
  <si>
    <t>STR20-[PAN_EBB.EB_EBMATO.EBMAT_T]</t>
  </si>
  <si>
    <t>STR21-[PAN_EBL.EB_EBMATO.EBMAT_T]</t>
  </si>
  <si>
    <t>STR22-[PAN_EBR.EB_EBMATO.EBMAT_T]</t>
  </si>
  <si>
    <t>STR30-[EVAL([PANEL.PAN_STL]+6)]</t>
  </si>
  <si>
    <t>IMG1-[IMGPANEL]</t>
  </si>
  <si>
    <t>ZONEPART.STR1-[NOM]</t>
  </si>
  <si>
    <t>ZONEWELDMENTS.IMG1-[IMGSTOCK]</t>
  </si>
  <si>
    <t>ZONEWELDMENTS.STR1-[MBS_CUTLIST]</t>
  </si>
  <si>
    <t>ZONEWELDMENTS.STR2-[MBS_MATERIAL]</t>
  </si>
  <si>
    <t>ZONEWELDMENTS.STR4-[MBS_LENGTH]</t>
  </si>
  <si>
    <t>ZONEWELDMENTS.STR3-[MBS_TOTALLENGTH]</t>
  </si>
  <si>
    <t>ZONEWELDMENTS.STR5-[MBS_QUANTITY]</t>
  </si>
  <si>
    <t>Cut List</t>
  </si>
  <si>
    <t>Total Length</t>
  </si>
  <si>
    <t>Liste des pièces soudées</t>
  </si>
  <si>
    <t>Longueur</t>
  </si>
  <si>
    <t>Longueur Totale</t>
  </si>
  <si>
    <t>WELDMENTS PARTLIST</t>
  </si>
  <si>
    <t>LISTE PIECES CONSTRUCTION SOUDEE</t>
  </si>
  <si>
    <t>D:\1D\DOCS\TECHNIQUE\USERSWOOD\2020_SWOOD\2_TRAINING\1_PARTNERS\Training\Training_Frame\C2-Report_SWOOD_Report\XLS\C2-Report_ReportLists_to_Excel.xml</t>
  </si>
  <si>
    <t>LAMINAVIMAS</t>
  </si>
  <si>
    <t>BAR CODE</t>
  </si>
  <si>
    <t>PAVEIKSLIUKAS</t>
  </si>
  <si>
    <t>DETALĖS KODAS</t>
  </si>
  <si>
    <t>DETALĖ</t>
  </si>
  <si>
    <t>PLOKŠTĖ</t>
  </si>
  <si>
    <t>KIEKIS</t>
  </si>
  <si>
    <t>DXF</t>
  </si>
  <si>
    <t>NOTES</t>
  </si>
  <si>
    <t>BARCODE</t>
  </si>
  <si>
    <t>SOLIDNAME</t>
  </si>
  <si>
    <t>PROJEKTAS</t>
  </si>
  <si>
    <t>FASADINĖ PLOŠTĖ</t>
  </si>
  <si>
    <t>KARKASINĖ PLOKŠTĖ</t>
  </si>
  <si>
    <t>PASTABOS</t>
  </si>
  <si>
    <t>IŠMATAVIMAI</t>
  </si>
  <si>
    <t>DXF AND NOTES</t>
  </si>
  <si>
    <t>&lt;STR16&gt;[PAN_EBF.EB_EBMATO.EBMAT_C]</t>
  </si>
  <si>
    <t>&lt;STR17&gt;[PAN_EBB.EB_EBMATO.EBMAT_C]</t>
  </si>
  <si>
    <t>&lt;STR19&gt;[PAN_EBR.EB_EBMATO.EBMAT_C]</t>
  </si>
  <si>
    <t>&lt;STR2&gt;[DB_PART]</t>
  </si>
  <si>
    <t xml:space="preserve">STR20-[OP1] QR
</t>
  </si>
  <si>
    <t xml:space="preserve">STR21-[OP2] QR
</t>
  </si>
  <si>
    <t xml:space="preserve">&lt;STR18&gt;[PAN_EBL.EB_EBMATO.EBMAT_C]
</t>
  </si>
  <si>
    <t xml:space="preserve">&lt;STR3&gt;MAT: [PAN_CORESTOCK.ST_MATO.MAT_NAME]&lt;/STR3&gt;		</t>
  </si>
  <si>
    <t xml:space="preserve">STR4-[PANEL.PAN_STL]x[PANEL.PAN_STW]x[PANEL.PAN_STT]	</t>
  </si>
  <si>
    <t>1OP</t>
  </si>
  <si>
    <t>2OP</t>
  </si>
  <si>
    <t xml:space="preserve">&lt;STR12&gt;[DESC]	</t>
  </si>
  <si>
    <t>IMG1&gt;[IMGPANEL]</t>
  </si>
  <si>
    <t xml:space="preserve">STR10-[DB_PART]	</t>
  </si>
  <si>
    <t>CORE</t>
  </si>
  <si>
    <t>KARKASAI 18mm</t>
  </si>
  <si>
    <t>Plaušas 3mm</t>
  </si>
  <si>
    <t>16MM PLOKŠTĖ</t>
  </si>
  <si>
    <t>GENERIC 16</t>
  </si>
  <si>
    <t>PRIEKIS2_ANTRESOLE_GIEDRIUS S_VIRTUVE</t>
  </si>
  <si>
    <t>Edgeband1</t>
  </si>
  <si>
    <t>Briauna 0.6</t>
  </si>
  <si>
    <t>Edgeband2</t>
  </si>
  <si>
    <t>Edgeband3</t>
  </si>
  <si>
    <t>Edgeband4</t>
  </si>
  <si>
    <t>Briauna 1mm</t>
  </si>
  <si>
    <t>Konfirmatas-Konfirmatas 5 x 40</t>
  </si>
  <si>
    <t>MEDSRAIGTIS_3x16-MEDSRAIGTIS 3x16</t>
  </si>
  <si>
    <t>Dowel_8X30-DIGIUKAI</t>
  </si>
  <si>
    <t>Senukai</t>
  </si>
  <si>
    <t>DU232T-Défaut</t>
  </si>
  <si>
    <t>Hettich</t>
  </si>
  <si>
    <t>15_18-Défaut</t>
  </si>
  <si>
    <t>TANDEMBOX Back Connector 130 Short Matt Silk White-Blum | TANDEMBOX | Back Adapter | 130 | Short</t>
  </si>
  <si>
    <t>Blum</t>
  </si>
  <si>
    <t>Z30K000S</t>
  </si>
  <si>
    <t>TANDEMBOX Front Connector Hit In-Blum | TANDEMBOX | Front Connector | Hit In</t>
  </si>
  <si>
    <t>ZSF.36A2</t>
  </si>
  <si>
    <t>TANDEMBOX Runner 500 30 Kg B-Blum | TANDEMBOX | Runner | 500 | 30 Kg | B | E</t>
  </si>
  <si>
    <t>578.5001B</t>
  </si>
  <si>
    <t>TANDEMBOX Side 500 98 Matt Silk White-Blum | TANDEMBOX | Side | 500 | 98</t>
  </si>
  <si>
    <t>378M5002SA</t>
  </si>
  <si>
    <t>TANDEMBOX Side Longitudinal Tube 43 500 Matt Silk White-Blum | TANDEMBOX | Side Longitudinal Tube | 500</t>
  </si>
  <si>
    <t>ZRG.437RSIC</t>
  </si>
  <si>
    <t>WoodScrew D3.5x15-Défaut</t>
  </si>
  <si>
    <t>WoodScrew D3.5x17-Défaut</t>
  </si>
  <si>
    <t>CLIP Top 42542984 Nickel Plated-Blum | CLIP Top | Hinge | 110 | S | CTB | S | O | +05.0 | +18.0 | 16 | 26 | 110° Hinge | Standard</t>
  </si>
  <si>
    <t>71B3550</t>
  </si>
  <si>
    <t>CLIP_TOP_173H7100-CLIP_TOP_173H7100_KRYZMINE_+0mm</t>
  </si>
  <si>
    <t>MEDSRAIGTIS 3x16_100mm KOJOS-MEDSRAIGTIS 3x16</t>
  </si>
  <si>
    <t>MAT: 16MM PLOKŠTĖ</t>
  </si>
  <si>
    <t>Back</t>
  </si>
  <si>
    <t>LAMINUOJASI</t>
  </si>
  <si>
    <t>STALVIRSIS</t>
  </si>
  <si>
    <t>KAIRE</t>
  </si>
  <si>
    <t>FASADAS</t>
  </si>
  <si>
    <t>IMITACIJA</t>
  </si>
  <si>
    <t>PLINTUSAS</t>
  </si>
  <si>
    <t>DESINE</t>
  </si>
  <si>
    <t>KAIRE_1</t>
  </si>
  <si>
    <t>MAT: GENERIC 16</t>
  </si>
  <si>
    <t>277.0x116.0x16.0</t>
  </si>
  <si>
    <t>MAT: KARKASAI 18mm</t>
  </si>
  <si>
    <t>DUGNAS</t>
  </si>
  <si>
    <t>364.0x100.0x18.0</t>
  </si>
  <si>
    <t>SURISIMAS_2</t>
  </si>
  <si>
    <t>DESINE_1</t>
  </si>
  <si>
    <t>STOGAS</t>
  </si>
  <si>
    <t>SURISIMAS</t>
  </si>
  <si>
    <t>SURISMAS</t>
  </si>
  <si>
    <t>LENTYNA_PAK</t>
  </si>
  <si>
    <t>SURISIMAS_1</t>
  </si>
  <si>
    <t>564.0x100.0x18.0</t>
  </si>
  <si>
    <t>NUGARA</t>
  </si>
  <si>
    <t>564.0x525.0x18.0</t>
  </si>
  <si>
    <t>LENTYNA PAK</t>
  </si>
  <si>
    <t>LENTYNA</t>
  </si>
  <si>
    <t>GARTRAUKIO_UZDENGIMAS_VIRSUS</t>
  </si>
  <si>
    <t>PERTVARA</t>
  </si>
  <si>
    <t>GARTRAUKIO_UZDENGIMAS_KAIRE</t>
  </si>
  <si>
    <t>GARTRAUKIO_UZDENGIMAS_PRIEKIS</t>
  </si>
  <si>
    <t>GARTRAUKIO_UZDENGIMAS_DESINE</t>
  </si>
  <si>
    <t>MAT: Plaušas 3mm</t>
  </si>
  <si>
    <t>PLAUSAS</t>
  </si>
  <si>
    <t>16 mm</t>
  </si>
  <si>
    <t>18 mm</t>
  </si>
  <si>
    <t>3 mm</t>
  </si>
  <si>
    <t>38 mm</t>
  </si>
  <si>
    <t>STALVIRSIS_DiG_Virtuve</t>
  </si>
  <si>
    <t>_23</t>
  </si>
  <si>
    <t>Stalviršis 38mm</t>
  </si>
  <si>
    <t>DUGNAS_PAK_PL_HOOD_2xLENT_DiG_Virtuve_1</t>
  </si>
  <si>
    <t>_213</t>
  </si>
  <si>
    <t>STOGAS_PAK_PL_HOOD_2xLENT_DiG_Virtuve_1</t>
  </si>
  <si>
    <t>_216</t>
  </si>
  <si>
    <t>GARTRAUKIO_UZDENGIMAS_VIRSUS_PAK_PL_HOOD_2xLENT_DiG_Virtuve_1</t>
  </si>
  <si>
    <t>_226</t>
  </si>
  <si>
    <t>LENT_LENT_3_HOLES_PAK_PL_HOOD_2xLENT_DiG_Virtuve_1_3</t>
  </si>
  <si>
    <t>_230</t>
  </si>
  <si>
    <t>STOGAS_PAK_PLAUSAS_2xFAS_2xLENT_DiG_Virtuve_1</t>
  </si>
  <si>
    <t>_115</t>
  </si>
  <si>
    <t>DUGNAS_PAK_PLAUSAS_2xFAS_2xLENT_DiG_Virtuve_1</t>
  </si>
  <si>
    <t>_117</t>
  </si>
  <si>
    <t>STOGAS_PAK_PLAUSAS_2xFAS_2xLENT_DiG_Virtuve_2</t>
  </si>
  <si>
    <t>_138</t>
  </si>
  <si>
    <t>DUGNAS_PAK_PLAUSAS_2xFAS_2xLENT_DiG_Virtuve_2</t>
  </si>
  <si>
    <t>_140</t>
  </si>
  <si>
    <t>KAIRE_PAK_PL_HOOD_2xLENT_DiG_Virtuve_1</t>
  </si>
  <si>
    <t>_214</t>
  </si>
  <si>
    <t>DESINE_PAK_PL_HOOD_2xLENT_DiG_Virtuve_1</t>
  </si>
  <si>
    <t>_215</t>
  </si>
  <si>
    <t>KAIRE_PAK_PLAUSAS_2xFAS_2xLENT_DiG_Virtuve_1</t>
  </si>
  <si>
    <t>_113</t>
  </si>
  <si>
    <t>DESINE_PAK_PLAUSAS_2xFAS_2xLENT_DiG_Virtuve_1</t>
  </si>
  <si>
    <t>_114</t>
  </si>
  <si>
    <t>DESINE_PAK_PLAUSAS_2xFAS_2xLENT_DiG_Virtuve_2</t>
  </si>
  <si>
    <t>_139</t>
  </si>
  <si>
    <t>KAIRE_PAK_PLAUSAS_2xFAS_2xLENT_DiG_Virtuve_2</t>
  </si>
  <si>
    <t>_141</t>
  </si>
  <si>
    <t>PERTVARA_PAK_PLAUSAS_2xFAS_2xLENT_DiG_Virtuve_1</t>
  </si>
  <si>
    <t>_108</t>
  </si>
  <si>
    <t>PERTVARA_PAK_PLAUSAS_2xFAS_2xLENT_DiG_Virtuve_2</t>
  </si>
  <si>
    <t>_151</t>
  </si>
  <si>
    <t>DONARAS_KRIAUKLE_FAS_DiG_Virtuve_2</t>
  </si>
  <si>
    <t>_188</t>
  </si>
  <si>
    <t>DONARAS</t>
  </si>
  <si>
    <t>DESINE_ORKAITE_TBOX_DiG_Virtuve_1</t>
  </si>
  <si>
    <t>_10</t>
  </si>
  <si>
    <t>KAIRE_ORKAITE_TBOX_DiG_Virtuve_1</t>
  </si>
  <si>
    <t>_12</t>
  </si>
  <si>
    <t>DESINE_KRIAUKLE_FAS_DiG_Virtuve_2</t>
  </si>
  <si>
    <t>_178</t>
  </si>
  <si>
    <t>KAIRE_KRIAUKLE_FAS_DiG_Virtuve_2</t>
  </si>
  <si>
    <t>_179</t>
  </si>
  <si>
    <t>DESINE_PAS_KAIT_4xT_BOX_DiG_Virtuve_1</t>
  </si>
  <si>
    <t>_59</t>
  </si>
  <si>
    <t>KAIRE_PAS_KAIT_4xT_BOX_DiG_Virtuve_1</t>
  </si>
  <si>
    <t>_62</t>
  </si>
  <si>
    <t>KAIRE_PAS_FAS_LAISVA_DiG_Virtuve_1</t>
  </si>
  <si>
    <t>_71</t>
  </si>
  <si>
    <t>DESINE_PAS_FAS_LAISVA_DiG_Virtuve_1</t>
  </si>
  <si>
    <t>_74</t>
  </si>
  <si>
    <t>KAIRE_PAS_FAS_LAISVA_DiG_Virtuve_2</t>
  </si>
  <si>
    <t>_87</t>
  </si>
  <si>
    <t>DESINE_PAS_FAS_LAISVA_DiG_Virtuve_2</t>
  </si>
  <si>
    <t>_89</t>
  </si>
  <si>
    <t>DESINE_CARGO_DiG_Virtuve_1</t>
  </si>
  <si>
    <t>_162</t>
  </si>
  <si>
    <t>KAIRE_CARGO_DiG_Virtuve_1</t>
  </si>
  <si>
    <t>_163</t>
  </si>
  <si>
    <t>DUGNAS_PAS_FAS_LAISVA_DiG_Virtuve_1</t>
  </si>
  <si>
    <t>_73</t>
  </si>
  <si>
    <t>DUGNAS_PAS_FAS_LAISVA_DiG_Virtuve_2</t>
  </si>
  <si>
    <t>_88</t>
  </si>
  <si>
    <t>DUGNAS_ORKAITE_TBOX_DiG_Virtuve_1</t>
  </si>
  <si>
    <t>_17</t>
  </si>
  <si>
    <t>DUGNAS_KRIAUKLE_FAS_DiG_Virtuve_2</t>
  </si>
  <si>
    <t>_180</t>
  </si>
  <si>
    <t>LENT_LENT_3_HOLES_KRIAUKLE_FAS_DiG_Virtuve_2_1</t>
  </si>
  <si>
    <t>_185</t>
  </si>
  <si>
    <t>LENT_LENT_3_HOLES_PAS_FAS_LAISVA_DiG_Virtuve_1_1</t>
  </si>
  <si>
    <t>_77</t>
  </si>
  <si>
    <t>LENT_LENT_3_HOLES_PAS_FAS_LAISVA_DiG_Virtuve_2_1</t>
  </si>
  <si>
    <t>_95</t>
  </si>
  <si>
    <t>LENTYNA_ORKAITE_TBOX_DiG_Virtuve_1</t>
  </si>
  <si>
    <t>_14</t>
  </si>
  <si>
    <t>NUGARA_ORKAITE_TBOX_DiG_Virtuve_1</t>
  </si>
  <si>
    <t>_13</t>
  </si>
  <si>
    <t>SURISIMAS_KRIAUKLE_FAS_DiG_Virtuve_2</t>
  </si>
  <si>
    <t>_181</t>
  </si>
  <si>
    <t>SURISIMAS_1_KRIAUKLE_FAS_DiG_Virtuve_2</t>
  </si>
  <si>
    <t>_182</t>
  </si>
  <si>
    <t>SURISIMAS_2_KRIAUKLE_FAS_DiG_Virtuve_2</t>
  </si>
  <si>
    <t>_183</t>
  </si>
  <si>
    <t>SURISIMAS_1_PAS_FAS_LAISVA_DiG_Virtuve_1</t>
  </si>
  <si>
    <t>_72</t>
  </si>
  <si>
    <t>SURISIMAS_PAS_FAS_LAISVA_DiG_Virtuve_1</t>
  </si>
  <si>
    <t>_75</t>
  </si>
  <si>
    <t>SURISIMAS_1_PAS_FAS_LAISVA_DiG_Virtuve_2</t>
  </si>
  <si>
    <t>_90</t>
  </si>
  <si>
    <t>SURISIMAS_PAS_FAS_LAISVA_DiG_Virtuve_2</t>
  </si>
  <si>
    <t>_91</t>
  </si>
  <si>
    <t>GARTRAUKIO_UZDENGIMAS_PRIEKIS_PAK_PL_HOOD_2xLENT_DiG_Virtuve_1</t>
  </si>
  <si>
    <t>_225</t>
  </si>
  <si>
    <t>LENTYNA PAK_LENTYNA PAK_PAK_PLAUSAS_2xFAS_2xLENT_DiG_Virtuve_1_2</t>
  </si>
  <si>
    <t>_112</t>
  </si>
  <si>
    <t>LENTYNA PAK_LENTYNA PAK_PAK_PLAUSAS_2xFAS_2xLENT_DiG_Virtuve_1_1</t>
  </si>
  <si>
    <t>_125</t>
  </si>
  <si>
    <t>LENTYNA PAK_LENTYNA PAK_PAK_PLAUSAS_2xFAS_2xLENT_DiG_Virtuve_2_1</t>
  </si>
  <si>
    <t>_146</t>
  </si>
  <si>
    <t>LENTYNA PAK_LENTYNA PAK_PAK_PLAUSAS_2xFAS_2xLENT_DiG_Virtuve_2_2</t>
  </si>
  <si>
    <t>_155</t>
  </si>
  <si>
    <t>DUGNAS_PAS_KAIT_4xT_BOX_DiG_Virtuve_1</t>
  </si>
  <si>
    <t>_58</t>
  </si>
  <si>
    <t>SURISIMAS_2_PAS_KAIT_4xT_BOX_DiG_Virtuve_1</t>
  </si>
  <si>
    <t>_39</t>
  </si>
  <si>
    <t>SURISIMAS_PAS_KAIT_4xT_BOX_DiG_Virtuve_1</t>
  </si>
  <si>
    <t>_60</t>
  </si>
  <si>
    <t>SURISMAS_PAS_KAIT_4xT_BOX_DiG_Virtuve_1</t>
  </si>
  <si>
    <t>_61</t>
  </si>
  <si>
    <t>GARTRAUKIO_UZDENGIMAS_KAIRE_PAK_PL_HOOD_2xLENT_DiG_Virtuve_1</t>
  </si>
  <si>
    <t>_218</t>
  </si>
  <si>
    <t>GARTRAUKIO_UZDENGIMAS_DESINE_PAK_PL_HOOD_2xLENT_DiG_Virtuve_1</t>
  </si>
  <si>
    <t>_217</t>
  </si>
  <si>
    <t>DUGNAS_CARGO_DiG_Virtuve_1</t>
  </si>
  <si>
    <t>_161</t>
  </si>
  <si>
    <t>GARTRAUKIO_UZDENGIMAS_11_PAK_PL_HOOD_2xLENT_DiG_Virtuve_1</t>
  </si>
  <si>
    <t>_224</t>
  </si>
  <si>
    <t>GARTRAUKIO_UZDENGIMAS_11</t>
  </si>
  <si>
    <t>GARTRAUKIO_UZDENGIMAS_8_PAK_PL_HOOD_2xLENT_DiG_Virtuve_1</t>
  </si>
  <si>
    <t>_231</t>
  </si>
  <si>
    <t>GARTRAUKIO_UZDENGIMAS_8</t>
  </si>
  <si>
    <t>GARTRAUKIO_UZDENGIMAS_9_PAK_PL_HOOD_2xLENT_DiG_Virtuve_1</t>
  </si>
  <si>
    <t>_223</t>
  </si>
  <si>
    <t>GARTRAUKIO_UZDENGIMAS_9</t>
  </si>
  <si>
    <t>GARTRAUKIO_UZDENGIMAS_10_PAK_PL_HOOD_2xLENT_DiG_Virtuve_1</t>
  </si>
  <si>
    <t>_232</t>
  </si>
  <si>
    <t>GARTRAUKIO_UZDENGIMAS_10</t>
  </si>
  <si>
    <t>SURISIMAS_1_CARGO_DiG_Virtuve_1</t>
  </si>
  <si>
    <t>_164</t>
  </si>
  <si>
    <t>GARTRAUKIO_UZDENGIMAS_7_PAK_PL_HOOD_2xLENT_DiG_Virtuve_1</t>
  </si>
  <si>
    <t>_227</t>
  </si>
  <si>
    <t>GARTRAUKIO_UZDENGIMAS_7</t>
  </si>
  <si>
    <t>GARTRAUKIO_UZDENGIMAS_6_PAK_PL_HOOD_2xLENT_DiG_Virtuve_1</t>
  </si>
  <si>
    <t>_228</t>
  </si>
  <si>
    <t>GARTRAUKIO_UZDENGIMAS_6</t>
  </si>
  <si>
    <t>ORKAITE_NEPJAUTI_ORKAITE_TBOX_DiG_Virtuve_1</t>
  </si>
  <si>
    <t>_11</t>
  </si>
  <si>
    <t>ORKAITE_NEPJAUTI</t>
  </si>
  <si>
    <t>NEPJAUTI BUITINE</t>
  </si>
  <si>
    <t>FASADAS2__FASADAI_VERT_PAK_PL_HOOD_2xLENT_DiG_Virtuve_1_2</t>
  </si>
  <si>
    <t>_221</t>
  </si>
  <si>
    <t>S032 18mm</t>
  </si>
  <si>
    <t>FASADAS1_FASADAI_VERT_PAK_PL_HOOD_2xLENT_DiG_Virtuve_1_2</t>
  </si>
  <si>
    <t>_222</t>
  </si>
  <si>
    <t>FASADAS2__FASADAI_VERT_PAK_PLAUSAS_2xFAS_2xLENT_DiG_Virtuve_2_2</t>
  </si>
  <si>
    <t>_149</t>
  </si>
  <si>
    <t>FASADAS1_FASADAI_VERT_PAK_PLAUSAS_2xFAS_2xLENT_DiG_Virtuve_2_2</t>
  </si>
  <si>
    <t>_150</t>
  </si>
  <si>
    <t>FASADAS1_FASADAI_VERT_PAK_PLAUSAS_2xFAS_2xLENT_DiG_Virtuve_1_2</t>
  </si>
  <si>
    <t>_120</t>
  </si>
  <si>
    <t>FASADAS2__FASADAI_VERT_PAK_PLAUSAS_2xFAS_2xLENT_DiG_Virtuve_1_2</t>
  </si>
  <si>
    <t>_121</t>
  </si>
  <si>
    <t>IMITACIJA_DiG_Virtuve</t>
  </si>
  <si>
    <t>_193</t>
  </si>
  <si>
    <t>NUGARA_1_DiG_Virtuve</t>
  </si>
  <si>
    <t>_194</t>
  </si>
  <si>
    <t>NUGARA_1</t>
  </si>
  <si>
    <t>DESINE_1_DiG_Virtuve</t>
  </si>
  <si>
    <t>_191</t>
  </si>
  <si>
    <t>KAIRE_DiG_Virtuve</t>
  </si>
  <si>
    <t>_22</t>
  </si>
  <si>
    <t>FASADAS1_FASADAI_VERT_KRIAUKLE_FAS_DiG_Virtuve_2_1</t>
  </si>
  <si>
    <t>_187</t>
  </si>
  <si>
    <t>S128 Pembroke</t>
  </si>
  <si>
    <t>FASADAS1_FASADAI_VERT_PAS_FAS_LAISVA_DiG_Virtuve_1_1</t>
  </si>
  <si>
    <t>_79</t>
  </si>
  <si>
    <t>FASADAS1_FASADAI_VERT_PAS_FAS_LAISVA_DiG_Virtuve_2_1</t>
  </si>
  <si>
    <t>_93</t>
  </si>
  <si>
    <t>FASADAS1_FASADAI_VERT_CARGO_DiG_Virtuve_1_2</t>
  </si>
  <si>
    <t>_166</t>
  </si>
  <si>
    <t>FASADAS1_FASADAI_HOR_ORKAITE_TBOX_DiG_Virtuve_1_1</t>
  </si>
  <si>
    <t>_16</t>
  </si>
  <si>
    <t>FASADAS3_FASADAI_HOR_PAS_KAIT_4xT_BOX_DiG_Virtuve_1_1</t>
  </si>
  <si>
    <t>_48</t>
  </si>
  <si>
    <t>FASADAS1_FASADAI_HOR_PAS_KAIT_4xT_BOX_DiG_Virtuve_1_1</t>
  </si>
  <si>
    <t>_49</t>
  </si>
  <si>
    <t>FASADAS2_FASADAI_HOR_PAS_KAIT_4xT_BOX_DiG_Virtuve_1_1</t>
  </si>
  <si>
    <t>_50</t>
  </si>
  <si>
    <t>FASADAS4_FASADAI_HOR_PAS_KAIT_4xT_BOX_DiG_Virtuve_1_1</t>
  </si>
  <si>
    <t>_51</t>
  </si>
  <si>
    <t>IMITACIJA_KRIAUKLE_FAS_DiG_Virtuve_2</t>
  </si>
  <si>
    <t>_189</t>
  </si>
  <si>
    <t>DESINE_DiG_Virtuve</t>
  </si>
  <si>
    <t>_63</t>
  </si>
  <si>
    <t>PLINTUSAS_DiG_Virtuve</t>
  </si>
  <si>
    <t>_192</t>
  </si>
  <si>
    <t>Back_TANDEMBOX_ORKAITE_TBOX_DiG_Virtuve_1_1</t>
  </si>
  <si>
    <t>_21</t>
  </si>
  <si>
    <t>Bottom_TANDEMBOX_ORKAITE_TBOX_DiG_Virtuve_1_1</t>
  </si>
  <si>
    <t>_20</t>
  </si>
  <si>
    <t>Bottom</t>
  </si>
  <si>
    <t>Bottom_TANDEMBOX_PAS_KAIT_4xT_BOX_DiG_Virtuve_1_1</t>
  </si>
  <si>
    <t>_42</t>
  </si>
  <si>
    <t>Back_TANDEMBOX_PAS_KAIT_4xT_BOX_DiG_Virtuve_1_3</t>
  </si>
  <si>
    <t>_53</t>
  </si>
  <si>
    <t>Back_TANDEMBOX_PAS_KAIT_4xT_BOX_DiG_Virtuve_1_2</t>
  </si>
  <si>
    <t>_55</t>
  </si>
  <si>
    <t>Back_TANDEMBOX_PAS_KAIT_4xT_BOX_DiG_Virtuve_1_1</t>
  </si>
  <si>
    <t>_43</t>
  </si>
  <si>
    <t>Back_T_BOX_PAS_KAIT_4xT_BOX_DiG_Virtuve_1_1</t>
  </si>
  <si>
    <t>_57</t>
  </si>
  <si>
    <t>10 mm</t>
  </si>
  <si>
    <t>NUGARA_DiG_Virtuve</t>
  </si>
  <si>
    <t>_167</t>
  </si>
  <si>
    <t>(be medziagos)</t>
  </si>
  <si>
    <t>KAIRE_1_DiG_Virtuve</t>
  </si>
  <si>
    <t>_190</t>
  </si>
  <si>
    <t>KAIRE_2_DiG_Virtuve</t>
  </si>
  <si>
    <t>_195</t>
  </si>
  <si>
    <t>KAIRE_2</t>
  </si>
  <si>
    <t>PLAUSAS_PAK_PLAUSAS_2xFAS_2xLENT_DiG_Virtuve_1</t>
  </si>
  <si>
    <t>_116</t>
  </si>
  <si>
    <t>PLAUSAS_PAK_PLAUSAS_2xFAS_2xLENT_DiG_Virtuve_2</t>
  </si>
  <si>
    <t>_142</t>
  </si>
  <si>
    <t>DiG_Virtuve</t>
  </si>
  <si>
    <t>3190.0x600.0x38.0</t>
  </si>
  <si>
    <t>MAT: Stalviršis 38mm</t>
  </si>
  <si>
    <t>1022.0x400.0x18.0</t>
  </si>
  <si>
    <t>1022.0x395.0x18.0</t>
  </si>
  <si>
    <t>964.0x397.0x18.0</t>
  </si>
  <si>
    <t>817.0x400.0x18.0</t>
  </si>
  <si>
    <t>817.0x397.0x18.0</t>
  </si>
  <si>
    <t>781.0x397.0x18.0</t>
  </si>
  <si>
    <t>762.0x50.0x18.0</t>
  </si>
  <si>
    <t>744.0x560.0x18.0</t>
  </si>
  <si>
    <t>744.0x525.0x18.0</t>
  </si>
  <si>
    <t>600.0x560.0x18.0</t>
  </si>
  <si>
    <t>600.0x525.0x18.0</t>
  </si>
  <si>
    <t>600.0x480.0x18.0</t>
  </si>
  <si>
    <t>564.0x555.0x18.0</t>
  </si>
  <si>
    <t>564.0x126.0x18.0</t>
  </si>
  <si>
    <t>540.0x332.0x18.0</t>
  </si>
  <si>
    <t>473.0x392.0x18.0</t>
  </si>
  <si>
    <t>400.0x510.0x18.0</t>
  </si>
  <si>
    <t>332.0x317.0x18.0</t>
  </si>
  <si>
    <t>332.0x314.0x18.0</t>
  </si>
  <si>
    <t>238.0x525.0x18.0</t>
  </si>
  <si>
    <t>205.5x264.0x18.0</t>
  </si>
  <si>
    <t>205.5x261.0x18.0</t>
  </si>
  <si>
    <t>202.0x525.0x18.0</t>
  </si>
  <si>
    <t>180.0x205.5x18.0</t>
  </si>
  <si>
    <t>596.0x595.0x18.0</t>
  </si>
  <si>
    <t>MAT: NEPJAUTI BUITINE</t>
  </si>
  <si>
    <t>837.0x526.0x18.0</t>
  </si>
  <si>
    <t>MAT: S032 18mm</t>
  </si>
  <si>
    <t>837.0x497.0x18.0</t>
  </si>
  <si>
    <t>837.0x496.5x18.0</t>
  </si>
  <si>
    <t>837.0x126.0x18.0</t>
  </si>
  <si>
    <t>150.0x638.0x18.0</t>
  </si>
  <si>
    <t>100.0x638.0x18.0</t>
  </si>
  <si>
    <t>757.0x597.0x18.0</t>
  </si>
  <si>
    <t>MAT: S128 Pembroke</t>
  </si>
  <si>
    <t>757.0x235.0x18.0</t>
  </si>
  <si>
    <t>596.0x159.0x18.0</t>
  </si>
  <si>
    <t>397.0x212.0x18.0</t>
  </si>
  <si>
    <t>397.0x112.0x18.0</t>
  </si>
  <si>
    <t>126.0x800.0x18.0</t>
  </si>
  <si>
    <t>100.0x762.0x18.0</t>
  </si>
  <si>
    <t>90.0x3187.0x18.0</t>
  </si>
  <si>
    <t>477.0x82.0x16.0</t>
  </si>
  <si>
    <t>476.0x489.0x16.0</t>
  </si>
  <si>
    <t>426.0x289.0x16.0</t>
  </si>
  <si>
    <t>277.0x167.0x16.0</t>
  </si>
  <si>
    <t>277.0x84.0x16.0</t>
  </si>
  <si>
    <t>600.0x2908.0x10.0</t>
  </si>
  <si>
    <t>MAT: (be medziagos)</t>
  </si>
  <si>
    <t>390.0x600.0x10.0</t>
  </si>
  <si>
    <t>136.0x578.0x10.0</t>
  </si>
  <si>
    <t>997.0x814.0x3.0</t>
  </si>
  <si>
    <t>GENERIC 18 G</t>
  </si>
  <si>
    <t>DiG_Virtuvė_Baze-Default</t>
  </si>
  <si>
    <t>LENT_DIGIS_LENT_3_HOLES_KRIAUKLE_FAS_DiG_Virtuve_2_1-LENTYNOS_LAIKIKLIS</t>
  </si>
  <si>
    <t>LENT_DIGIS_LENT_3_HOLES_PAS_FAS_LAISVA_DiG_Virtuve_1_1-LENTYNOS_LAIKIKLIS</t>
  </si>
  <si>
    <t>LENT_DIGIS_LENT_3_HOLES_PAS_FAS_LAISVA_DiG_Virtuve_2_1-LENTYNOS_LAIKIKLIS</t>
  </si>
  <si>
    <t>Longside Gallery Rail Connector Cover-Défaut</t>
  </si>
  <si>
    <t>Longside Gallery Rail Wood Connector-Défaut</t>
  </si>
  <si>
    <t>MEDSRAIGTIS 3x16_100mm KOJOS_KRIAUKLE_FAS_DiG_Virtuve_2_1-MEDSRAIGTIS 3x16</t>
  </si>
  <si>
    <t>MEDSRAIGTIS 3x16_100mm KOJOS_ORKAITE_TBOX_DiG_Virtuve_1_1-MEDSRAIGTIS 3x16</t>
  </si>
  <si>
    <t>MEDSRAIGTIS 3x16_100mm KOJOS_PAS_FAS_LAISVA_DiG_Virtuve_1_1-MEDSRAIGTIS 3x16</t>
  </si>
  <si>
    <t>MEDSRAIGTIS 3x16_100mm KOJOS_PAS_FAS_LAISVA_DiG_Virtuve_2_1-MEDSRAIGTIS 3x16</t>
  </si>
  <si>
    <t>MEDSRAIGTIS 3x16_100mm KOJOS_PAS_KAIT_4xT_BOX_DiG_Virtuve_1_1-MEDSRAIGTIS 3x16</t>
  </si>
  <si>
    <t>Reg. Koj_100mm KOJOS_KRIAUKLE_FAS_DiG_Virtuve_2_1-100mm KOJELE</t>
  </si>
  <si>
    <t>Reg. Koj_100mm KOJOS_ORKAITE_TBOX_DiG_Virtuve_1_1-100mm KOJELE</t>
  </si>
  <si>
    <t>Reg. Koj_100mm KOJOS_PAS_FAS_LAISVA_DiG_Virtuve_1_1-100mm KOJELE</t>
  </si>
  <si>
    <t>Reg. Koj_100mm KOJOS_PAS_FAS_LAISVA_DiG_Virtuve_2_1-100mm KOJELE</t>
  </si>
  <si>
    <t>Reg. Koj_100mm KOJOS_PAS_KAIT_4xT_BOX_DiG_Virtuve_1_1-100mm KOJELE</t>
  </si>
  <si>
    <t>Reg. Koj_2X KOJELES_CARGO_DiG_Virtuve_1_1-kojele</t>
  </si>
  <si>
    <t>TANDEMBOX Back Connector 098 Short Matt Silk White_L-Blum | TANDEMBOX | Back Adapter_L | 098 | Short</t>
  </si>
  <si>
    <t>Z30M000S.04_L</t>
  </si>
  <si>
    <t>TANDEMBOX Back Connector 098 Short Matt Silk White-Blum | TANDEMBOX | Back Adapter | 098 | Short</t>
  </si>
  <si>
    <t>Z30M000S.04</t>
  </si>
  <si>
    <t>TANDEMBOX Back Connector 130 Short Matt Silk White_L-Blum | TANDEMBOX | Back Adapter_L | 130 | Short</t>
  </si>
  <si>
    <t>Z30K000S_L</t>
  </si>
  <si>
    <t>TANDEMBOX Back Connector 192 Short Matt Silk White_L-Blum | TANDEMBOX | Back Adapter_L | 192 | Short</t>
  </si>
  <si>
    <t>Z30C000S_L</t>
  </si>
  <si>
    <t>TANDEMBOX Back Connector 192 Short Matt Silk White-Blum | TANDEMBOX | Back Adapter | 192 | Short</t>
  </si>
  <si>
    <t>Z30C000S</t>
  </si>
  <si>
    <t>TANDEMBOX Back Connector 224 Short Matt Silk White_L-Blum | TANDEMBOX | Back Adapter_L | 224 | Short</t>
  </si>
  <si>
    <t>Z30D000S_L</t>
  </si>
  <si>
    <t>TANDEMBOX Design Element 192 Glass 500_TANDEMBOX_PAS_KAIT_4xT_BOX_DiG_Virtuve_1_3-Blum | TANDEMBOX | Side Insert | 192 | 500 | Glass</t>
  </si>
  <si>
    <t>Z37R467C</t>
  </si>
  <si>
    <t>TANDEMBOX Design Element 192 Matt Silk White 500_TANDEMBOX_PAS_KAIT_4xT_BOX_DiG_Virtuve_1_2-Blum | TANDEMBOX | Side Insert | 192 | 500 | Matt Silk White</t>
  </si>
  <si>
    <t>Z37A467C</t>
  </si>
  <si>
    <t>TANDEMBOX Locking Set Piece 192  Matt Silk White_L-Blum | TANDEMBOX | Glass Side Connector | 192</t>
  </si>
  <si>
    <t>Z36C0080</t>
  </si>
  <si>
    <t>TANDEMBOX Locking Set Piece 192  Matt Silk White-Blum | TANDEMBOX | Glass Side Connector | 192</t>
  </si>
  <si>
    <t>TANDEMBOX Runner 450 30 Kg B_L-Blum | TANDEMBOX | Runner_L | 450 | 30 Kg | B | E</t>
  </si>
  <si>
    <t>578.4501B_L</t>
  </si>
  <si>
    <t>TANDEMBOX Runner 450 30 Kg B-Blum | TANDEMBOX | Runner | 450 | 30 Kg | B | E</t>
  </si>
  <si>
    <t>578.4501B</t>
  </si>
  <si>
    <t>TANDEMBOX Runner 500 30 Kg B_L-Blum | TANDEMBOX | Runner_L | 500 | 30 Kg | B | E</t>
  </si>
  <si>
    <t>578.5001B_L</t>
  </si>
  <si>
    <t>TANDEMBOX Side 450 130 Matt Silk White_L-Blum | TANDEMBOX | Side_L | 450 | 130</t>
  </si>
  <si>
    <t>378K4502SA_L</t>
  </si>
  <si>
    <t>TANDEMBOX Side 450 130 Matt Silk White-Blum | TANDEMBOX | Side | 450 | 130</t>
  </si>
  <si>
    <t>378K4502SA</t>
  </si>
  <si>
    <t>TANDEMBOX Side 500 98 Matt Silk White_L-Blum | TANDEMBOX | Side_L | 500 | 98</t>
  </si>
  <si>
    <t>378M5002SA_L</t>
  </si>
  <si>
    <t>TANDEMBOX Side Longitudinal Tube 43 500 Matt Silk White_L-Blum | TANDEMBOX | Side Longitudinal Tube | 500</t>
  </si>
  <si>
    <t>ZRG.437RSIC_L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</si>
</sst>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font>
      <sz val="11"/>
      <color theme="1"/>
      <name val="Calibri"/>
      <family val="2"/>
      <scheme val="minor"/>
    </font>
    <font>
      <sz val="12"/>
      <name val="Arial"/>
      <family val="2"/>
    </font>
    <font>
      <i/>
      <sz val="12"/>
      <name val="Arial"/>
      <family val="2"/>
    </font>
    <font>
      <b/>
      <sz val="36"/>
      <name val="Arial"/>
      <family val="2"/>
    </font>
    <font>
      <b/>
      <sz val="24"/>
      <name val="Arial"/>
      <family val="2"/>
    </font>
    <font>
      <b/>
      <sz val="11"/>
      <name val="Arial"/>
      <family val="2"/>
    </font>
    <font>
      <b/>
      <sz val="12"/>
      <name val="Arial"/>
      <family val="2"/>
    </font>
    <font>
      <sz val="11"/>
      <color theme="0"/>
      <name val="Calibri"/>
      <family val="2"/>
      <scheme val="minor"/>
    </font>
    <font>
      <sz val="11"/>
      <color rgb="FF006100"/>
      <name val="Calibri"/>
      <family val="2"/>
      <charset val="238"/>
      <scheme val="minor"/>
    </font>
    <font>
      <sz val="11"/>
      <color theme="1"/>
      <name val="Calibri"/>
      <family val="2"/>
      <charset val="238"/>
      <scheme val="minor"/>
    </font>
    <font>
      <b/>
      <sz val="11"/>
      <color theme="1"/>
      <name val="Calibri"/>
      <family val="2"/>
      <scheme val="minor"/>
    </font>
    <font>
      <sz val="12"/>
      <color theme="1"/>
      <name val="Calibri"/>
      <family val="2"/>
      <scheme val="minor"/>
    </font>
    <font>
      <b/>
      <sz val="12"/>
      <color theme="1"/>
      <name val="Calibri"/>
      <family val="2"/>
      <scheme val="minor"/>
    </font>
    <font>
      <sz val="11"/>
      <color theme="1"/>
      <name val="Arial"/>
      <family val="2"/>
    </font>
    <font>
      <sz val="12"/>
      <color theme="1"/>
      <name val="Arial"/>
      <family val="2"/>
    </font>
    <font>
      <sz val="36"/>
      <color theme="1"/>
      <name val="Arial"/>
      <family val="2"/>
    </font>
    <font>
      <b/>
      <sz val="14"/>
      <color rgb="FFFF0000"/>
      <name val="Arial"/>
      <family val="2"/>
    </font>
    <font>
      <b/>
      <sz val="12"/>
      <color theme="1"/>
      <name val="Arial"/>
      <family val="2"/>
    </font>
    <font>
      <b/>
      <sz val="20"/>
      <color theme="1"/>
      <name val="Calibri"/>
      <family val="2"/>
      <scheme val="minor"/>
    </font>
    <font>
      <b/>
      <sz val="14"/>
      <color theme="1"/>
      <name val="Arial"/>
      <family val="2"/>
    </font>
    <font>
      <sz val="24"/>
      <color theme="1"/>
      <name val="Arial"/>
      <family val="2"/>
    </font>
    <font>
      <b/>
      <sz val="11"/>
      <color theme="1"/>
      <name val="Arial"/>
      <family val="2"/>
    </font>
    <font>
      <b/>
      <sz val="20"/>
      <color theme="1"/>
      <name val="Arial"/>
      <family val="2"/>
    </font>
    <font>
      <sz val="20"/>
      <color theme="1"/>
      <name val="Code 128"/>
    </font>
    <font>
      <sz val="28"/>
      <color theme="1"/>
      <name val="Calibri"/>
      <family val="2"/>
      <scheme val="minor"/>
    </font>
    <font>
      <sz val="7"/>
      <color theme="1"/>
      <name val="Calibri"/>
      <family val="2"/>
      <scheme val="minor"/>
    </font>
    <font>
      <sz val="20"/>
      <color theme="1"/>
      <name val="Calibri"/>
      <family val="2"/>
      <scheme val="minor"/>
    </font>
    <font>
      <u val="double"/>
      <sz val="11"/>
      <color theme="1"/>
      <name val="Calibri"/>
      <family val="2"/>
      <scheme val="minor"/>
    </font>
    <font>
      <b/>
      <sz val="24"/>
      <color theme="1"/>
      <name val="Arial"/>
      <family val="2"/>
    </font>
    <font>
      <sz val="36"/>
      <color theme="1"/>
      <name val="Code 128"/>
    </font>
    <font>
      <b/>
      <sz val="14"/>
      <color rgb="FF000000"/>
      <name val="Calibri"/>
      <family val="2"/>
    </font>
  </fonts>
  <fills count="12">
    <fill>
      <patternFill patternType="none"/>
    </fill>
    <fill>
      <patternFill patternType="gray125"/>
    </fill>
    <fill>
      <patternFill patternType="solid">
        <fgColor rgb="FFC6EFCE"/>
      </patternFill>
    </fill>
    <fill>
      <patternFill patternType="solid">
        <fgColor theme="0" tint="-0.14999847407452621"/>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9" tint="0.59999389629810485"/>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dotted">
        <color indexed="64"/>
      </left>
      <right style="dotted">
        <color indexed="64"/>
      </right>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indexed="64"/>
      </left>
      <right style="dotted">
        <color indexed="64"/>
      </right>
      <top style="dotted">
        <color indexed="64"/>
      </top>
      <bottom/>
      <diagonal/>
    </border>
    <border>
      <left/>
      <right style="thin">
        <color indexed="64"/>
      </right>
      <top style="thin">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right style="dotted">
        <color indexed="64"/>
      </right>
      <top/>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dotted">
        <color indexed="64"/>
      </left>
      <right/>
      <top style="dotted">
        <color indexed="64"/>
      </top>
      <bottom/>
      <diagonal/>
    </border>
    <border>
      <left/>
      <right style="dotted">
        <color indexed="64"/>
      </right>
      <top style="dotted">
        <color indexed="64"/>
      </top>
      <bottom/>
      <diagonal/>
    </border>
    <border>
      <left style="dotted">
        <color indexed="64"/>
      </left>
      <right/>
      <top/>
      <bottom/>
      <diagonal/>
    </border>
    <border>
      <left style="dotted">
        <color indexed="64"/>
      </left>
      <right/>
      <top/>
      <bottom style="dotted">
        <color indexed="64"/>
      </bottom>
      <diagonal/>
    </border>
    <border>
      <left/>
      <right style="dotted">
        <color indexed="64"/>
      </right>
      <top/>
      <bottom style="dotted">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style="medium">
        <color indexed="64"/>
      </right>
      <top style="medium">
        <color indexed="64"/>
      </top>
      <bottom style="dotted">
        <color indexed="64"/>
      </bottom>
      <diagonal/>
    </border>
    <border>
      <left style="medium">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dotted">
        <color indexed="64"/>
      </left>
      <right style="medium">
        <color indexed="64"/>
      </right>
      <top style="dotted">
        <color indexed="64"/>
      </top>
      <bottom style="medium">
        <color indexed="64"/>
      </bottom>
      <diagonal/>
    </border>
    <border>
      <left style="dotted">
        <color indexed="64"/>
      </left>
      <right/>
      <top style="medium">
        <color indexed="64"/>
      </top>
      <bottom style="dotted">
        <color indexed="64"/>
      </bottom>
      <diagonal/>
    </border>
    <border>
      <left style="dotted">
        <color indexed="64"/>
      </left>
      <right/>
      <top style="dotted">
        <color indexed="64"/>
      </top>
      <bottom style="medium">
        <color indexed="64"/>
      </bottom>
      <diagonal/>
    </border>
    <border>
      <left/>
      <right/>
      <top style="dotted">
        <color indexed="64"/>
      </top>
      <bottom/>
      <diagonal/>
    </border>
    <border>
      <left/>
      <right/>
      <top/>
      <bottom style="dotted">
        <color indexed="64"/>
      </bottom>
      <diagonal/>
    </border>
    <border>
      <left style="thin">
        <color rgb="FFABABAB"/>
      </left>
      <right/>
      <top style="thin">
        <color rgb="FFABABAB"/>
      </top>
      <bottom/>
      <diagonal/>
    </border>
    <border>
      <left/>
      <right style="thin">
        <color rgb="FFABABAB"/>
      </right>
      <top style="thin">
        <color rgb="FFABABAB"/>
      </top>
      <bottom/>
      <diagonal/>
    </border>
    <border>
      <left style="thin">
        <color rgb="FFABABAB"/>
      </left>
      <right/>
      <top style="thin">
        <color rgb="FFABABAB"/>
      </top>
      <bottom style="thin">
        <color rgb="FFABABAB"/>
      </bottom>
      <diagonal/>
    </border>
    <border>
      <left/>
      <right style="thin">
        <color rgb="FFABABAB"/>
      </right>
      <top style="thin">
        <color rgb="FFABABAB"/>
      </top>
      <bottom style="thin">
        <color rgb="FFABABAB"/>
      </bottom>
      <diagonal/>
    </border>
    <border>
      <left style="thin">
        <color indexed="65"/>
      </left>
      <right style="thin">
        <color rgb="FFABABAB"/>
      </right>
      <top style="thin">
        <color rgb="FFABABAB"/>
      </top>
      <bottom/>
      <diagonal/>
    </border>
    <border>
      <left style="thin">
        <color indexed="65"/>
      </left>
      <right/>
      <top style="thin">
        <color rgb="FFABABAB"/>
      </top>
      <bottom/>
      <diagonal/>
    </border>
    <border>
      <left/>
      <right/>
      <top style="medium">
        <color indexed="64"/>
      </top>
      <bottom style="dotted">
        <color indexed="64"/>
      </bottom>
      <diagonal/>
    </border>
    <border>
      <left/>
      <right style="dotted">
        <color indexed="64"/>
      </right>
      <top style="medium">
        <color indexed="64"/>
      </top>
      <bottom style="dotted">
        <color indexed="64"/>
      </bottom>
      <diagonal/>
    </border>
    <border>
      <left style="thin">
        <color indexed="65"/>
      </left>
      <right/>
      <top style="thin">
        <color rgb="FFABABAB"/>
      </top>
      <bottom style="thin">
        <color rgb="FFABABAB"/>
      </bottom>
      <diagonal/>
    </border>
    <border>
      <left style="thin">
        <color rgb="FFABABAB"/>
      </left>
      <right/>
      <top style="thin">
        <color indexed="65"/>
      </top>
      <bottom/>
      <diagonal/>
    </border>
  </borders>
  <cellStyleXfs count="3">
    <xf numFmtId="0" fontId="0" fillId="0" borderId="0"/>
    <xf numFmtId="0" fontId="8" fillId="2" borderId="0" applyNumberFormat="0" applyBorder="0" applyAlignment="0" applyProtection="0"/>
    <xf numFmtId="0" fontId="9" fillId="0" borderId="0"/>
  </cellStyleXfs>
  <cellXfs count="301">
    <xf numFmtId="0" fontId="0" fillId="0" borderId="0" xfId="0"/>
    <xf numFmtId="0" fontId="11" fillId="0" borderId="0" xfId="0" applyFont="1"/>
    <xf numFmtId="0" fontId="12" fillId="0" borderId="1" xfId="0" applyFont="1" applyBorder="1" applyAlignment="1">
      <alignment horizontal="center" vertical="center" textRotation="90"/>
    </xf>
    <xf numFmtId="0" fontId="10" fillId="0" borderId="1" xfId="0" applyFont="1" applyBorder="1" applyAlignment="1">
      <alignment horizontal="center" vertical="center" textRotation="90"/>
    </xf>
    <xf numFmtId="0" fontId="0" fillId="0" borderId="2" xfId="0" applyBorder="1" applyAlignment="1">
      <alignment horizontal="left" vertical="center" wrapText="1"/>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0" xfId="0" applyAlignment="1">
      <alignment horizontal="left" vertical="center"/>
    </xf>
    <xf numFmtId="0" fontId="0" fillId="0" borderId="3" xfId="0" applyBorder="1" applyAlignment="1">
      <alignment horizontal="left"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left" vertical="center" wrapText="1"/>
    </xf>
    <xf numFmtId="0" fontId="12" fillId="0" borderId="1" xfId="0" applyFont="1" applyBorder="1" applyAlignment="1">
      <alignment horizontal="center" vertical="center" textRotation="90" wrapText="1"/>
    </xf>
    <xf numFmtId="0" fontId="0" fillId="0" borderId="6" xfId="0" applyBorder="1" applyAlignment="1">
      <alignment horizontal="center" vertical="center"/>
    </xf>
    <xf numFmtId="0" fontId="0" fillId="0" borderId="3" xfId="0" applyBorder="1" applyAlignment="1">
      <alignment horizontal="center" vertical="center" wrapText="1"/>
    </xf>
    <xf numFmtId="2" fontId="0" fillId="0" borderId="2" xfId="0" applyNumberFormat="1" applyBorder="1" applyAlignment="1">
      <alignment horizontal="center" vertical="center"/>
    </xf>
    <xf numFmtId="2" fontId="0" fillId="0" borderId="3" xfId="0" applyNumberFormat="1" applyBorder="1" applyAlignment="1">
      <alignment horizontal="center" vertical="center"/>
    </xf>
    <xf numFmtId="0" fontId="0" fillId="0" borderId="7" xfId="0" applyBorder="1" applyAlignment="1">
      <alignment horizontal="center" vertical="center"/>
    </xf>
    <xf numFmtId="0" fontId="0" fillId="0" borderId="2" xfId="0" applyBorder="1" applyAlignment="1">
      <alignment vertical="center" wrapText="1"/>
    </xf>
    <xf numFmtId="0" fontId="12" fillId="0" borderId="8" xfId="0" applyFont="1" applyBorder="1" applyAlignment="1">
      <alignment horizontal="center" vertical="center" wrapText="1"/>
    </xf>
    <xf numFmtId="0" fontId="13" fillId="0" borderId="0" xfId="0" applyFont="1" applyProtection="1">
      <protection locked="0"/>
    </xf>
    <xf numFmtId="0" fontId="14" fillId="0" borderId="0" xfId="0" applyFont="1" applyProtection="1">
      <protection locked="0"/>
    </xf>
    <xf numFmtId="0" fontId="0" fillId="0" borderId="0" xfId="0" applyProtection="1">
      <protection locked="0"/>
    </xf>
    <xf numFmtId="0" fontId="15" fillId="0" borderId="0" xfId="0" applyFont="1" applyAlignment="1" applyProtection="1">
      <alignment vertical="center"/>
      <protection locked="0"/>
    </xf>
    <xf numFmtId="0" fontId="16" fillId="0" borderId="0" xfId="0" applyFont="1" applyAlignment="1" applyProtection="1">
      <alignment horizontal="right"/>
      <protection locked="0"/>
    </xf>
    <xf numFmtId="0" fontId="2" fillId="0" borderId="0" xfId="0" applyFont="1" applyAlignment="1" applyProtection="1">
      <alignment horizontal="right" vertical="center"/>
      <protection locked="0"/>
    </xf>
    <xf numFmtId="0" fontId="1" fillId="0" borderId="0" xfId="0" applyFont="1" applyProtection="1">
      <protection locked="0"/>
    </xf>
    <xf numFmtId="0" fontId="0" fillId="0" borderId="0" xfId="0" applyAlignment="1" applyProtection="1">
      <alignment horizontal="left" vertical="center"/>
      <protection locked="0"/>
    </xf>
    <xf numFmtId="0" fontId="1" fillId="0" borderId="9" xfId="0" applyFont="1" applyBorder="1" applyAlignment="1" applyProtection="1">
      <alignment horizontal="center" vertical="center" wrapText="1"/>
      <protection locked="0"/>
    </xf>
    <xf numFmtId="0" fontId="1" fillId="0" borderId="10" xfId="0" applyFont="1" applyBorder="1" applyAlignment="1" applyProtection="1">
      <alignment horizontal="center" vertical="center" wrapText="1"/>
      <protection locked="0"/>
    </xf>
    <xf numFmtId="0" fontId="1" fillId="0" borderId="11" xfId="0" applyFont="1"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0" fontId="11" fillId="0" borderId="0" xfId="0" applyFont="1" applyProtection="1">
      <protection locked="0"/>
    </xf>
    <xf numFmtId="0" fontId="0" fillId="0" borderId="2" xfId="0" applyBorder="1" applyAlignment="1">
      <alignment horizontal="left" vertical="center"/>
    </xf>
    <xf numFmtId="0" fontId="0" fillId="0" borderId="0" xfId="0" applyAlignment="1">
      <alignment horizontal="center" vertical="center"/>
    </xf>
    <xf numFmtId="0" fontId="17" fillId="0" borderId="0" xfId="0" applyFont="1" applyAlignment="1" applyProtection="1">
      <alignment vertical="center" wrapText="1"/>
      <protection locked="0"/>
    </xf>
    <xf numFmtId="0" fontId="10" fillId="0" borderId="3" xfId="0" applyFont="1" applyBorder="1" applyAlignment="1">
      <alignment horizontal="center" vertical="center" wrapText="1"/>
    </xf>
    <xf numFmtId="0" fontId="18" fillId="0" borderId="0" xfId="0" applyFont="1" applyAlignment="1">
      <alignment horizontal="center"/>
    </xf>
    <xf numFmtId="0" fontId="19" fillId="0" borderId="0" xfId="0" applyFont="1" applyAlignment="1" applyProtection="1">
      <alignment horizontal="left"/>
      <protection locked="0"/>
    </xf>
    <xf numFmtId="0" fontId="14" fillId="0" borderId="12" xfId="0" applyFont="1" applyBorder="1" applyAlignment="1" applyProtection="1">
      <alignment horizontal="center" vertical="center" wrapText="1"/>
      <protection locked="0"/>
    </xf>
    <xf numFmtId="0" fontId="14" fillId="0" borderId="13" xfId="0" applyFont="1" applyBorder="1" applyAlignment="1" applyProtection="1">
      <alignment horizontal="center" vertical="center" wrapText="1"/>
      <protection locked="0"/>
    </xf>
    <xf numFmtId="0" fontId="20" fillId="0" borderId="0" xfId="0" applyFont="1" applyAlignment="1">
      <alignment horizontal="left" vertical="center"/>
    </xf>
    <xf numFmtId="2" fontId="0" fillId="0" borderId="0" xfId="0" applyNumberFormat="1" applyAlignment="1">
      <alignment horizontal="center" vertical="center"/>
    </xf>
    <xf numFmtId="1" fontId="0" fillId="0" borderId="0" xfId="0" applyNumberFormat="1" applyAlignment="1">
      <alignment horizontal="center" vertical="center"/>
    </xf>
    <xf numFmtId="0" fontId="0" fillId="3" borderId="1"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10" fillId="0" borderId="3" xfId="0" applyFont="1" applyBorder="1" applyAlignment="1" applyProtection="1">
      <alignment horizontal="center" vertical="center" wrapText="1"/>
      <protection locked="0"/>
    </xf>
    <xf numFmtId="0" fontId="1"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21" fillId="0" borderId="0" xfId="0" applyFont="1" applyAlignment="1" applyProtection="1">
      <alignment horizontal="left" vertical="center"/>
      <protection locked="0"/>
    </xf>
    <xf numFmtId="0" fontId="21" fillId="0" borderId="0" xfId="0" applyFont="1" applyAlignment="1" applyProtection="1">
      <alignment horizontal="left"/>
      <protection locked="0"/>
    </xf>
    <xf numFmtId="0" fontId="21" fillId="0" borderId="0" xfId="0" applyFont="1" applyAlignment="1" applyProtection="1">
      <alignment horizontal="center"/>
      <protection locked="0"/>
    </xf>
    <xf numFmtId="0" fontId="13" fillId="0" borderId="0" xfId="0" applyFont="1" applyAlignment="1" applyProtection="1">
      <alignment horizontal="left" vertical="center"/>
      <protection locked="0"/>
    </xf>
    <xf numFmtId="0" fontId="21" fillId="0" borderId="0" xfId="0" applyFont="1" applyProtection="1">
      <protection locked="0"/>
    </xf>
    <xf numFmtId="0" fontId="10" fillId="0" borderId="0" xfId="0" applyFont="1" applyAlignment="1" applyProtection="1">
      <alignment horizontal="left" vertical="center"/>
      <protection locked="0"/>
    </xf>
    <xf numFmtId="0" fontId="2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14" fillId="0" borderId="0" xfId="0" applyFont="1" applyAlignment="1" applyProtection="1">
      <alignment horizontal="center" vertical="center"/>
      <protection locked="0"/>
    </xf>
    <xf numFmtId="0" fontId="14" fillId="0" borderId="0" xfId="0" applyFont="1" applyAlignment="1" applyProtection="1">
      <alignment vertical="center"/>
      <protection locked="0"/>
    </xf>
    <xf numFmtId="0" fontId="0" fillId="0" borderId="16" xfId="0" applyBorder="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0" fontId="0" fillId="0" borderId="0" xfId="0" applyAlignment="1" applyProtection="1">
      <alignment horizontal="center"/>
      <protection locked="0"/>
    </xf>
    <xf numFmtId="0" fontId="0" fillId="0" borderId="2" xfId="0" applyBorder="1" applyAlignment="1" applyProtection="1">
      <alignment horizontal="center" vertical="center" wrapText="1"/>
      <protection locked="0"/>
    </xf>
    <xf numFmtId="0" fontId="0" fillId="0" borderId="0" xfId="0" applyAlignment="1" applyProtection="1">
      <alignment vertical="center" wrapText="1"/>
      <protection locked="0"/>
    </xf>
    <xf numFmtId="0" fontId="14" fillId="0" borderId="13" xfId="0" applyFont="1" applyBorder="1" applyAlignment="1" applyProtection="1">
      <alignment horizontal="center" vertical="center"/>
      <protection locked="0"/>
    </xf>
    <xf numFmtId="0" fontId="1" fillId="0" borderId="17" xfId="0" applyFont="1" applyBorder="1" applyAlignment="1" applyProtection="1">
      <alignment horizontal="center" vertical="center" wrapText="1"/>
      <protection locked="0"/>
    </xf>
    <xf numFmtId="0" fontId="0" fillId="0" borderId="0" xfId="0" applyAlignment="1" applyProtection="1">
      <alignment vertical="center"/>
      <protection locked="0"/>
    </xf>
    <xf numFmtId="0" fontId="10" fillId="0" borderId="0" xfId="0" applyFont="1" applyAlignment="1">
      <alignment horizontal="center"/>
    </xf>
    <xf numFmtId="0" fontId="21" fillId="0" borderId="0" xfId="0" applyFont="1" applyAlignment="1" applyProtection="1">
      <alignment vertical="center"/>
      <protection locked="0"/>
    </xf>
    <xf numFmtId="0" fontId="19" fillId="4" borderId="0" xfId="0" applyFont="1" applyFill="1" applyAlignment="1" applyProtection="1">
      <alignment horizontal="center"/>
      <protection locked="0"/>
    </xf>
    <xf numFmtId="0" fontId="0" fillId="0" borderId="0" xfId="0" applyAlignment="1">
      <alignment horizontal="center"/>
    </xf>
    <xf numFmtId="0" fontId="0" fillId="0" borderId="0" xfId="0" applyAlignment="1">
      <alignment horizontal="center" vertical="center" wrapText="1"/>
    </xf>
    <xf numFmtId="0" fontId="0" fillId="0" borderId="3" xfId="0" applyBorder="1" applyAlignment="1" applyProtection="1">
      <alignment vertical="center" wrapText="1"/>
      <protection locked="0"/>
    </xf>
    <xf numFmtId="0" fontId="0" fillId="0" borderId="0" xfId="0" quotePrefix="1" applyAlignment="1">
      <alignment horizontal="center"/>
    </xf>
    <xf numFmtId="0" fontId="1" fillId="0" borderId="18" xfId="0" applyFont="1" applyBorder="1" applyAlignment="1" applyProtection="1">
      <alignment horizontal="center" vertical="center" wrapText="1"/>
      <protection locked="0"/>
    </xf>
    <xf numFmtId="0" fontId="23" fillId="0" borderId="0" xfId="0" applyFont="1" applyAlignment="1" applyProtection="1">
      <alignment horizontal="center" vertical="center"/>
      <protection locked="0"/>
    </xf>
    <xf numFmtId="0" fontId="1" fillId="0" borderId="0" xfId="0" applyFont="1" applyAlignment="1" applyProtection="1">
      <alignment vertical="center" wrapText="1"/>
      <protection locked="0"/>
    </xf>
    <xf numFmtId="49" fontId="0" fillId="0" borderId="2" xfId="0" applyNumberFormat="1" applyBorder="1" applyAlignment="1" applyProtection="1">
      <alignment horizontal="center" vertical="center" wrapText="1"/>
      <protection locked="0"/>
    </xf>
    <xf numFmtId="0" fontId="1" fillId="0" borderId="13" xfId="0" applyFont="1" applyBorder="1" applyAlignment="1" applyProtection="1">
      <alignment horizontal="center" vertical="center" wrapText="1"/>
      <protection locked="0"/>
    </xf>
    <xf numFmtId="0" fontId="24" fillId="5" borderId="0" xfId="0" applyFont="1" applyFill="1" applyProtection="1">
      <protection locked="0"/>
    </xf>
    <xf numFmtId="0" fontId="13" fillId="5" borderId="0" xfId="0" applyFont="1" applyFill="1" applyProtection="1">
      <protection locked="0"/>
    </xf>
    <xf numFmtId="0" fontId="22" fillId="5" borderId="0" xfId="0" applyFont="1" applyFill="1" applyProtection="1">
      <protection locked="0"/>
    </xf>
    <xf numFmtId="0" fontId="22" fillId="5" borderId="0" xfId="0" applyFont="1" applyFill="1" applyAlignment="1" applyProtection="1">
      <alignment horizontal="center"/>
      <protection locked="0"/>
    </xf>
    <xf numFmtId="0" fontId="14" fillId="5" borderId="0" xfId="0" applyFont="1" applyFill="1" applyAlignment="1" applyProtection="1">
      <alignment vertical="center"/>
      <protection locked="0"/>
    </xf>
    <xf numFmtId="0" fontId="1" fillId="0" borderId="19" xfId="0" applyFont="1" applyBorder="1" applyAlignment="1" applyProtection="1">
      <alignment vertical="center" wrapText="1"/>
      <protection locked="0"/>
    </xf>
    <xf numFmtId="0" fontId="1" fillId="0" borderId="13" xfId="0" applyFont="1" applyBorder="1" applyAlignment="1" applyProtection="1">
      <alignment horizontal="center" vertical="center" shrinkToFit="1"/>
      <protection locked="0"/>
    </xf>
    <xf numFmtId="0" fontId="14" fillId="0" borderId="18" xfId="0" applyFont="1" applyBorder="1" applyAlignment="1" applyProtection="1">
      <alignment horizontal="center" vertical="center"/>
      <protection locked="0"/>
    </xf>
    <xf numFmtId="0" fontId="11" fillId="0" borderId="2" xfId="0" applyFont="1" applyBorder="1" applyAlignment="1" applyProtection="1">
      <alignment horizontal="center" vertical="center" wrapText="1"/>
      <protection locked="0"/>
    </xf>
    <xf numFmtId="0" fontId="0" fillId="0" borderId="3" xfId="0" applyBorder="1" applyAlignment="1" applyProtection="1">
      <alignment vertical="center" shrinkToFit="1"/>
      <protection locked="0"/>
    </xf>
    <xf numFmtId="0" fontId="0" fillId="0" borderId="20" xfId="0" applyBorder="1" applyProtection="1">
      <protection locked="0"/>
    </xf>
    <xf numFmtId="0" fontId="11" fillId="0" borderId="3" xfId="0" applyFont="1" applyBorder="1" applyAlignment="1" applyProtection="1">
      <alignment vertical="center" shrinkToFit="1"/>
      <protection locked="0"/>
    </xf>
    <xf numFmtId="0" fontId="11" fillId="0" borderId="3" xfId="0" applyFont="1" applyBorder="1" applyAlignment="1" applyProtection="1">
      <alignment horizontal="center" vertical="center" shrinkToFit="1"/>
      <protection locked="0"/>
    </xf>
    <xf numFmtId="2" fontId="0" fillId="0" borderId="63" xfId="0" applyNumberFormat="1" applyBorder="1" applyAlignment="1">
      <alignment horizontal="center" vertical="center"/>
    </xf>
    <xf numFmtId="2" fontId="0" fillId="0" borderId="64" xfId="0" applyNumberFormat="1" applyBorder="1" applyAlignment="1">
      <alignment horizontal="center" vertical="center"/>
    </xf>
    <xf numFmtId="2" fontId="0" fillId="0" borderId="65" xfId="0" applyNumberFormat="1" applyBorder="1" applyAlignment="1">
      <alignment horizontal="center" vertical="center"/>
    </xf>
    <xf numFmtId="2" fontId="0" fillId="0" borderId="66" xfId="0" applyNumberFormat="1" applyBorder="1" applyAlignment="1">
      <alignment horizontal="center" vertical="center"/>
    </xf>
    <xf numFmtId="2" fontId="0" fillId="0" borderId="67" xfId="0" applyNumberFormat="1" applyBorder="1" applyAlignment="1">
      <alignment horizontal="center" vertical="center"/>
    </xf>
    <xf numFmtId="0" fontId="0" fillId="3" borderId="63" xfId="0" applyFill="1" applyBorder="1" applyAlignment="1">
      <alignment horizontal="center" vertical="center"/>
    </xf>
    <xf numFmtId="0" fontId="0" fillId="0" borderId="63" xfId="0" applyBorder="1" applyAlignment="1">
      <alignment horizontal="center" vertical="center"/>
    </xf>
    <xf numFmtId="0" fontId="0" fillId="0" borderId="65" xfId="0" applyBorder="1" applyAlignment="1">
      <alignment horizontal="center" vertical="center"/>
    </xf>
    <xf numFmtId="1" fontId="0" fillId="0" borderId="65" xfId="0" applyNumberFormat="1" applyBorder="1" applyAlignment="1">
      <alignment horizontal="center" vertical="center"/>
    </xf>
    <xf numFmtId="1" fontId="0" fillId="0" borderId="66" xfId="0" applyNumberFormat="1" applyBorder="1" applyAlignment="1">
      <alignment horizontal="center" vertical="center"/>
    </xf>
    <xf numFmtId="1" fontId="0" fillId="0" borderId="63" xfId="0" applyNumberFormat="1" applyBorder="1" applyAlignment="1">
      <alignment horizontal="center" vertical="center"/>
    </xf>
    <xf numFmtId="1" fontId="0" fillId="0" borderId="64" xfId="0" applyNumberFormat="1" applyBorder="1" applyAlignment="1">
      <alignment horizontal="center" vertical="center"/>
    </xf>
    <xf numFmtId="1" fontId="0" fillId="0" borderId="67" xfId="0" applyNumberFormat="1" applyBorder="1" applyAlignment="1">
      <alignment horizontal="center" vertical="center"/>
    </xf>
    <xf numFmtId="0" fontId="5" fillId="5" borderId="28" xfId="0" applyFont="1" applyFill="1" applyBorder="1" applyAlignment="1" applyProtection="1">
      <alignment horizontal="left" vertical="center" wrapText="1"/>
      <protection locked="0"/>
    </xf>
    <xf numFmtId="0" fontId="5" fillId="5" borderId="21" xfId="0" applyFont="1" applyFill="1" applyBorder="1" applyAlignment="1" applyProtection="1">
      <alignment horizontal="left" vertical="center" wrapText="1"/>
      <protection locked="0"/>
    </xf>
    <xf numFmtId="0" fontId="5" fillId="5" borderId="29" xfId="0" applyFont="1" applyFill="1" applyBorder="1" applyAlignment="1" applyProtection="1">
      <alignment horizontal="left" vertical="center" wrapText="1"/>
      <protection locked="0"/>
    </xf>
    <xf numFmtId="0" fontId="5" fillId="5" borderId="23" xfId="0" applyFont="1" applyFill="1" applyBorder="1" applyAlignment="1" applyProtection="1">
      <alignment horizontal="left" vertical="center" wrapText="1"/>
      <protection locked="0"/>
    </xf>
    <xf numFmtId="0" fontId="5" fillId="5" borderId="24" xfId="0" applyFont="1" applyFill="1" applyBorder="1" applyAlignment="1" applyProtection="1">
      <alignment horizontal="left" vertical="center" wrapText="1"/>
      <protection locked="0"/>
    </xf>
    <xf numFmtId="0" fontId="5" fillId="5" borderId="25" xfId="0" applyFont="1" applyFill="1" applyBorder="1" applyAlignment="1" applyProtection="1">
      <alignment horizontal="left" vertical="center" wrapText="1"/>
      <protection locked="0"/>
    </xf>
    <xf numFmtId="0" fontId="6" fillId="5" borderId="26" xfId="0" applyFont="1" applyFill="1" applyBorder="1" applyAlignment="1" applyProtection="1">
      <alignment horizontal="center" vertical="center"/>
      <protection locked="0"/>
    </xf>
    <xf numFmtId="0" fontId="6" fillId="5" borderId="0" xfId="0" applyFont="1" applyFill="1" applyAlignment="1" applyProtection="1">
      <alignment horizontal="center" vertical="center"/>
      <protection locked="0"/>
    </xf>
    <xf numFmtId="0" fontId="6" fillId="5" borderId="27" xfId="0" applyFont="1" applyFill="1" applyBorder="1" applyAlignment="1" applyProtection="1">
      <alignment horizontal="center" vertical="center"/>
      <protection locked="0"/>
    </xf>
    <xf numFmtId="0" fontId="6" fillId="5" borderId="23" xfId="0" applyFont="1" applyFill="1" applyBorder="1" applyAlignment="1" applyProtection="1">
      <alignment horizontal="center" vertical="center"/>
      <protection locked="0"/>
    </xf>
    <xf numFmtId="0" fontId="6" fillId="5" borderId="24" xfId="0" applyFont="1" applyFill="1" applyBorder="1" applyAlignment="1" applyProtection="1">
      <alignment horizontal="center" vertical="center"/>
      <protection locked="0"/>
    </xf>
    <xf numFmtId="0" fontId="6" fillId="5" borderId="25" xfId="0" applyFont="1" applyFill="1" applyBorder="1" applyAlignment="1" applyProtection="1">
      <alignment horizontal="center" vertical="center"/>
      <protection locked="0"/>
    </xf>
    <xf numFmtId="0" fontId="17" fillId="5" borderId="28" xfId="0" applyFont="1" applyFill="1" applyBorder="1" applyAlignment="1" applyProtection="1">
      <alignment horizontal="center"/>
      <protection locked="0"/>
    </xf>
    <xf numFmtId="0" fontId="17" fillId="5" borderId="21" xfId="0" applyFont="1" applyFill="1" applyBorder="1" applyAlignment="1" applyProtection="1">
      <alignment horizontal="center"/>
      <protection locked="0"/>
    </xf>
    <xf numFmtId="0" fontId="17" fillId="5" borderId="29" xfId="0" applyFont="1" applyFill="1" applyBorder="1" applyAlignment="1" applyProtection="1">
      <alignment horizontal="center"/>
      <protection locked="0"/>
    </xf>
    <xf numFmtId="0" fontId="17" fillId="5" borderId="23" xfId="0" applyFont="1" applyFill="1" applyBorder="1" applyAlignment="1" applyProtection="1">
      <alignment horizontal="center"/>
      <protection locked="0"/>
    </xf>
    <xf numFmtId="0" fontId="17" fillId="5" borderId="24" xfId="0" applyFont="1" applyFill="1" applyBorder="1" applyAlignment="1" applyProtection="1">
      <alignment horizontal="center"/>
      <protection locked="0"/>
    </xf>
    <xf numFmtId="0" fontId="17" fillId="5" borderId="25" xfId="0" applyFont="1" applyFill="1" applyBorder="1" applyAlignment="1" applyProtection="1">
      <alignment horizontal="center"/>
      <protection locked="0"/>
    </xf>
    <xf numFmtId="0" fontId="19" fillId="0" borderId="0" xfId="0" applyFont="1" applyAlignment="1" applyProtection="1">
      <alignment horizontal="left"/>
      <protection locked="0"/>
    </xf>
    <xf numFmtId="0" fontId="21" fillId="5" borderId="28" xfId="0" applyFont="1" applyFill="1" applyBorder="1" applyAlignment="1" applyProtection="1">
      <alignment horizontal="left" wrapText="1"/>
      <protection locked="0"/>
    </xf>
    <xf numFmtId="0" fontId="21" fillId="5" borderId="21" xfId="0" applyFont="1" applyFill="1" applyBorder="1" applyAlignment="1" applyProtection="1">
      <alignment horizontal="left" wrapText="1"/>
      <protection locked="0"/>
    </xf>
    <xf numFmtId="0" fontId="21" fillId="5" borderId="29" xfId="0" applyFont="1" applyFill="1" applyBorder="1" applyAlignment="1" applyProtection="1">
      <alignment horizontal="left" wrapText="1"/>
      <protection locked="0"/>
    </xf>
    <xf numFmtId="0" fontId="21" fillId="5" borderId="26" xfId="0" applyFont="1" applyFill="1" applyBorder="1" applyAlignment="1" applyProtection="1">
      <alignment horizontal="left" wrapText="1"/>
      <protection locked="0"/>
    </xf>
    <xf numFmtId="0" fontId="21" fillId="5" borderId="0" xfId="0" applyFont="1" applyFill="1" applyAlignment="1" applyProtection="1">
      <alignment horizontal="left" wrapText="1"/>
      <protection locked="0"/>
    </xf>
    <xf numFmtId="0" fontId="21" fillId="5" borderId="27" xfId="0" applyFont="1" applyFill="1" applyBorder="1" applyAlignment="1" applyProtection="1">
      <alignment horizontal="left" wrapText="1"/>
      <protection locked="0"/>
    </xf>
    <xf numFmtId="0" fontId="17" fillId="5" borderId="26" xfId="0" applyFont="1" applyFill="1" applyBorder="1" applyAlignment="1" applyProtection="1">
      <alignment horizontal="center" vertical="center"/>
      <protection locked="0"/>
    </xf>
    <xf numFmtId="0" fontId="17" fillId="5" borderId="0" xfId="0" applyFont="1" applyFill="1" applyAlignment="1" applyProtection="1">
      <alignment horizontal="center" vertical="center"/>
      <protection locked="0"/>
    </xf>
    <xf numFmtId="0" fontId="17" fillId="5" borderId="27" xfId="0" applyFont="1" applyFill="1" applyBorder="1" applyAlignment="1" applyProtection="1">
      <alignment horizontal="center" vertical="center"/>
      <protection locked="0"/>
    </xf>
    <xf numFmtId="0" fontId="17" fillId="5" borderId="23" xfId="0" applyFont="1" applyFill="1" applyBorder="1" applyAlignment="1" applyProtection="1">
      <alignment horizontal="center" vertical="center"/>
      <protection locked="0"/>
    </xf>
    <xf numFmtId="0" fontId="17" fillId="5" borderId="24" xfId="0" applyFont="1" applyFill="1" applyBorder="1" applyAlignment="1" applyProtection="1">
      <alignment horizontal="center" vertical="center"/>
      <protection locked="0"/>
    </xf>
    <xf numFmtId="0" fontId="17" fillId="5" borderId="25" xfId="0" applyFont="1" applyFill="1" applyBorder="1" applyAlignment="1" applyProtection="1">
      <alignment horizontal="center" vertical="center"/>
      <protection locked="0"/>
    </xf>
    <xf numFmtId="0" fontId="0" fillId="0" borderId="4"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10" fillId="0" borderId="4" xfId="0" applyFont="1" applyBorder="1" applyAlignment="1" applyProtection="1">
      <alignment horizontal="center" vertical="center"/>
      <protection locked="0"/>
    </xf>
    <xf numFmtId="0" fontId="10" fillId="0" borderId="5" xfId="0" applyFont="1" applyBorder="1" applyAlignment="1" applyProtection="1">
      <alignment horizontal="center" vertical="center"/>
      <protection locked="0"/>
    </xf>
    <xf numFmtId="0" fontId="10" fillId="0" borderId="6" xfId="0" applyFont="1" applyBorder="1" applyAlignment="1" applyProtection="1">
      <alignment horizontal="center" vertical="center"/>
      <protection locked="0"/>
    </xf>
    <xf numFmtId="0" fontId="14" fillId="0" borderId="21" xfId="0" applyFont="1" applyBorder="1" applyAlignment="1" applyProtection="1">
      <alignment horizontal="center" vertical="center"/>
      <protection locked="0"/>
    </xf>
    <xf numFmtId="0" fontId="21" fillId="5" borderId="0" xfId="0" applyFont="1" applyFill="1" applyAlignment="1" applyProtection="1">
      <alignment horizontal="center" wrapText="1"/>
      <protection locked="0"/>
    </xf>
    <xf numFmtId="0" fontId="21" fillId="5" borderId="27" xfId="0" applyFont="1" applyFill="1" applyBorder="1" applyAlignment="1" applyProtection="1">
      <alignment horizontal="center" wrapText="1"/>
      <protection locked="0"/>
    </xf>
    <xf numFmtId="0" fontId="21" fillId="5" borderId="24" xfId="0" applyFont="1" applyFill="1" applyBorder="1" applyAlignment="1" applyProtection="1">
      <alignment horizontal="center" wrapText="1"/>
      <protection locked="0"/>
    </xf>
    <xf numFmtId="0" fontId="21" fillId="5" borderId="25" xfId="0" applyFont="1" applyFill="1" applyBorder="1" applyAlignment="1" applyProtection="1">
      <alignment horizontal="center" wrapText="1"/>
      <protection locked="0"/>
    </xf>
    <xf numFmtId="0" fontId="21" fillId="5" borderId="12" xfId="0" applyFont="1" applyFill="1" applyBorder="1" applyAlignment="1" applyProtection="1">
      <alignment horizontal="left" wrapText="1"/>
      <protection locked="0"/>
    </xf>
    <xf numFmtId="0" fontId="21" fillId="5" borderId="18" xfId="0" applyFont="1" applyFill="1" applyBorder="1" applyAlignment="1" applyProtection="1">
      <alignment horizontal="left" wrapText="1"/>
      <protection locked="0"/>
    </xf>
    <xf numFmtId="0" fontId="21" fillId="5" borderId="22" xfId="0" applyFont="1" applyFill="1" applyBorder="1" applyAlignment="1" applyProtection="1">
      <alignment horizontal="left" wrapText="1"/>
      <protection locked="0"/>
    </xf>
    <xf numFmtId="0" fontId="17" fillId="5" borderId="18" xfId="0" applyFont="1" applyFill="1" applyBorder="1" applyAlignment="1" applyProtection="1">
      <alignment horizontal="center"/>
      <protection locked="0"/>
    </xf>
    <xf numFmtId="0" fontId="17" fillId="5" borderId="22" xfId="0" applyFont="1" applyFill="1" applyBorder="1" applyAlignment="1" applyProtection="1">
      <alignment horizontal="center"/>
      <protection locked="0"/>
    </xf>
    <xf numFmtId="0" fontId="1" fillId="0" borderId="23" xfId="0" applyFont="1" applyBorder="1" applyAlignment="1" applyProtection="1">
      <alignment horizontal="center" vertical="center" wrapText="1"/>
      <protection locked="0"/>
    </xf>
    <xf numFmtId="0" fontId="1" fillId="0" borderId="24" xfId="0" applyFont="1" applyBorder="1" applyAlignment="1" applyProtection="1">
      <alignment horizontal="center" vertical="center" wrapText="1"/>
      <protection locked="0"/>
    </xf>
    <xf numFmtId="0" fontId="1" fillId="0" borderId="25" xfId="0" applyFont="1" applyBorder="1" applyAlignment="1" applyProtection="1">
      <alignment horizontal="center" vertical="center" wrapText="1"/>
      <protection locked="0"/>
    </xf>
    <xf numFmtId="0" fontId="1" fillId="0" borderId="26" xfId="0" applyFont="1" applyBorder="1" applyAlignment="1" applyProtection="1">
      <alignment horizontal="center" vertical="center" wrapText="1"/>
      <protection locked="0"/>
    </xf>
    <xf numFmtId="0" fontId="1" fillId="0" borderId="0" xfId="0" applyFont="1" applyAlignment="1" applyProtection="1">
      <alignment horizontal="center" vertical="center" wrapText="1"/>
      <protection locked="0"/>
    </xf>
    <xf numFmtId="0" fontId="1" fillId="0" borderId="27" xfId="0" applyFont="1" applyBorder="1" applyAlignment="1" applyProtection="1">
      <alignment horizontal="center" vertical="center" wrapText="1"/>
      <protection locked="0"/>
    </xf>
    <xf numFmtId="0" fontId="1" fillId="0" borderId="28" xfId="0" applyFont="1" applyBorder="1" applyAlignment="1" applyProtection="1">
      <alignment horizontal="center" vertical="center" wrapText="1"/>
      <protection locked="0"/>
    </xf>
    <xf numFmtId="0" fontId="1" fillId="0" borderId="29" xfId="0" applyFont="1" applyBorder="1" applyAlignment="1" applyProtection="1">
      <alignment horizontal="center" vertical="center" wrapText="1"/>
      <protection locked="0"/>
    </xf>
    <xf numFmtId="0" fontId="10" fillId="0" borderId="3" xfId="0" applyFont="1" applyBorder="1" applyAlignment="1" applyProtection="1">
      <alignment horizontal="center" vertical="center"/>
      <protection locked="0"/>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25" fillId="0" borderId="3" xfId="0" applyFont="1" applyBorder="1" applyAlignment="1" applyProtection="1">
      <alignment horizontal="center" vertical="center" textRotation="180" shrinkToFit="1"/>
      <protection locked="0"/>
    </xf>
    <xf numFmtId="0" fontId="26" fillId="0" borderId="3" xfId="0" applyFont="1" applyBorder="1" applyAlignment="1" applyProtection="1">
      <alignment horizontal="center" vertical="center" wrapText="1"/>
      <protection locked="0"/>
    </xf>
    <xf numFmtId="0" fontId="10" fillId="0" borderId="30" xfId="0" applyFont="1" applyBorder="1" applyAlignment="1" applyProtection="1">
      <alignment horizontal="center" vertical="center"/>
      <protection locked="0"/>
    </xf>
    <xf numFmtId="0" fontId="10" fillId="0" borderId="31" xfId="0" applyFont="1" applyBorder="1" applyAlignment="1" applyProtection="1">
      <alignment horizontal="center" vertical="center"/>
      <protection locked="0"/>
    </xf>
    <xf numFmtId="0" fontId="10" fillId="0" borderId="33" xfId="0" applyFont="1" applyBorder="1" applyAlignment="1" applyProtection="1">
      <alignment horizontal="center" vertical="center"/>
      <protection locked="0"/>
    </xf>
    <xf numFmtId="0" fontId="10" fillId="0" borderId="34" xfId="0" applyFont="1" applyBorder="1" applyAlignment="1" applyProtection="1">
      <alignment horizontal="center" vertical="center"/>
      <protection locked="0"/>
    </xf>
    <xf numFmtId="0" fontId="25" fillId="0" borderId="30" xfId="0" applyFont="1" applyBorder="1" applyAlignment="1" applyProtection="1">
      <alignment horizontal="center" vertical="center" wrapText="1" shrinkToFit="1"/>
      <protection locked="0"/>
    </xf>
    <xf numFmtId="0" fontId="25" fillId="0" borderId="31" xfId="0" applyFont="1" applyBorder="1" applyAlignment="1" applyProtection="1">
      <alignment horizontal="center" vertical="center" wrapText="1" shrinkToFit="1"/>
      <protection locked="0"/>
    </xf>
    <xf numFmtId="0" fontId="25" fillId="0" borderId="32" xfId="0" applyFont="1" applyBorder="1" applyAlignment="1" applyProtection="1">
      <alignment horizontal="center" vertical="center" wrapText="1" shrinkToFit="1"/>
      <protection locked="0"/>
    </xf>
    <xf numFmtId="0" fontId="25" fillId="0" borderId="20" xfId="0" applyFont="1" applyBorder="1" applyAlignment="1" applyProtection="1">
      <alignment horizontal="center" vertical="center" wrapText="1" shrinkToFit="1"/>
      <protection locked="0"/>
    </xf>
    <xf numFmtId="0" fontId="25" fillId="0" borderId="33" xfId="0" applyFont="1" applyBorder="1" applyAlignment="1" applyProtection="1">
      <alignment horizontal="center" vertical="center" wrapText="1" shrinkToFit="1"/>
      <protection locked="0"/>
    </xf>
    <xf numFmtId="0" fontId="25" fillId="0" borderId="34" xfId="0" applyFont="1" applyBorder="1" applyAlignment="1" applyProtection="1">
      <alignment horizontal="center" vertical="center" wrapText="1" shrinkToFit="1"/>
      <protection locked="0"/>
    </xf>
    <xf numFmtId="0" fontId="27" fillId="0" borderId="4" xfId="0" applyFont="1" applyBorder="1" applyAlignment="1" applyProtection="1">
      <alignment horizontal="center" vertical="center" shrinkToFit="1"/>
      <protection locked="0"/>
    </xf>
    <xf numFmtId="0" fontId="27" fillId="0" borderId="6" xfId="0" applyFont="1" applyBorder="1" applyAlignment="1" applyProtection="1">
      <alignment horizontal="center" vertical="center" shrinkToFit="1"/>
      <protection locked="0"/>
    </xf>
    <xf numFmtId="0" fontId="25" fillId="0" borderId="3" xfId="0" applyFont="1" applyBorder="1" applyAlignment="1" applyProtection="1">
      <alignment horizontal="center" vertical="center" wrapText="1" shrinkToFit="1"/>
      <protection locked="0"/>
    </xf>
    <xf numFmtId="0" fontId="25" fillId="0" borderId="3"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wrapText="1" shrinkToFit="1"/>
      <protection locked="0"/>
    </xf>
    <xf numFmtId="0" fontId="26" fillId="0" borderId="3" xfId="0" applyFont="1" applyBorder="1" applyAlignment="1" applyProtection="1">
      <alignment horizontal="center" vertical="center" shrinkToFit="1"/>
      <protection locked="0"/>
    </xf>
    <xf numFmtId="0" fontId="27" fillId="0" borderId="3" xfId="0" applyFont="1" applyBorder="1" applyAlignment="1" applyProtection="1">
      <alignment horizontal="center" vertical="center" textRotation="90" shrinkToFit="1"/>
      <protection locked="0"/>
    </xf>
    <xf numFmtId="0" fontId="27" fillId="0" borderId="3" xfId="0" applyFont="1" applyBorder="1" applyAlignment="1" applyProtection="1">
      <alignment horizontal="center" vertical="center" textRotation="180" shrinkToFit="1"/>
      <protection locked="0"/>
    </xf>
    <xf numFmtId="0" fontId="0" fillId="0" borderId="3" xfId="0" applyBorder="1" applyAlignment="1" applyProtection="1">
      <alignment horizontal="center" vertical="center" textRotation="90" shrinkToFit="1"/>
      <protection locked="0"/>
    </xf>
    <xf numFmtId="0" fontId="25" fillId="0" borderId="4" xfId="0" applyFont="1" applyBorder="1" applyAlignment="1" applyProtection="1">
      <alignment horizontal="center" vertical="center" shrinkToFit="1"/>
      <protection locked="0"/>
    </xf>
    <xf numFmtId="0" fontId="25" fillId="0" borderId="6" xfId="0" applyFont="1" applyBorder="1" applyAlignment="1" applyProtection="1">
      <alignment horizontal="center" vertical="center" shrinkToFit="1"/>
      <protection locked="0"/>
    </xf>
    <xf numFmtId="0" fontId="4" fillId="6" borderId="0" xfId="0" applyFont="1" applyFill="1" applyAlignment="1" applyProtection="1">
      <alignment horizontal="center" vertical="center"/>
      <protection locked="0"/>
    </xf>
    <xf numFmtId="0" fontId="17" fillId="0" borderId="24" xfId="0" applyFont="1" applyBorder="1" applyAlignment="1">
      <alignment horizontal="center" vertical="center"/>
    </xf>
    <xf numFmtId="0" fontId="18" fillId="0" borderId="0" xfId="0" applyFont="1" applyAlignment="1">
      <alignment horizontal="center"/>
    </xf>
    <xf numFmtId="0" fontId="21" fillId="0" borderId="0" xfId="0" applyFont="1" applyAlignment="1" applyProtection="1">
      <alignment horizontal="left"/>
      <protection locked="0"/>
    </xf>
    <xf numFmtId="0" fontId="13" fillId="0" borderId="0" xfId="0" applyFont="1" applyAlignment="1" applyProtection="1">
      <alignment horizontal="left" vertical="center" wrapText="1"/>
      <protection locked="0"/>
    </xf>
    <xf numFmtId="0" fontId="21" fillId="0" borderId="0" xfId="0" applyFont="1" applyAlignment="1" applyProtection="1">
      <alignment horizontal="left" vertical="center"/>
      <protection locked="0"/>
    </xf>
    <xf numFmtId="0" fontId="21" fillId="0" borderId="0" xfId="0" applyFont="1" applyAlignment="1" applyProtection="1">
      <alignment horizontal="center"/>
      <protection locked="0"/>
    </xf>
    <xf numFmtId="0" fontId="13" fillId="0" borderId="0" xfId="0" applyFont="1" applyAlignment="1" applyProtection="1">
      <alignment horizontal="left" wrapText="1"/>
      <protection locked="0"/>
    </xf>
    <xf numFmtId="0" fontId="28" fillId="0" borderId="0" xfId="0" applyFont="1" applyAlignment="1" applyProtection="1">
      <alignment horizontal="center" vertical="center"/>
      <protection locked="0"/>
    </xf>
    <xf numFmtId="0" fontId="13" fillId="4" borderId="0" xfId="0" applyFont="1" applyFill="1" applyAlignment="1">
      <alignment horizontal="left" vertical="center"/>
    </xf>
    <xf numFmtId="0" fontId="0" fillId="0" borderId="3" xfId="0" applyBorder="1" applyAlignment="1">
      <alignment horizontal="center" vertical="center" wrapText="1"/>
    </xf>
    <xf numFmtId="0" fontId="3" fillId="6" borderId="0" xfId="0" applyFont="1" applyFill="1" applyAlignment="1" applyProtection="1">
      <alignment horizontal="center" vertical="center" shrinkToFit="1"/>
      <protection locked="0"/>
    </xf>
    <xf numFmtId="0" fontId="14" fillId="0" borderId="28" xfId="0" applyFont="1" applyBorder="1" applyAlignment="1" applyProtection="1">
      <alignment horizontal="center" vertical="center"/>
      <protection locked="0"/>
    </xf>
    <xf numFmtId="0" fontId="14" fillId="0" borderId="23" xfId="0" applyFont="1" applyBorder="1" applyAlignment="1" applyProtection="1">
      <alignment horizontal="center" vertical="center"/>
      <protection locked="0"/>
    </xf>
    <xf numFmtId="0" fontId="14" fillId="0" borderId="35" xfId="0" applyFont="1" applyBorder="1" applyAlignment="1" applyProtection="1">
      <alignment horizontal="center" vertical="center"/>
      <protection locked="0"/>
    </xf>
    <xf numFmtId="0" fontId="14" fillId="0" borderId="19" xfId="0" applyFont="1" applyBorder="1" applyAlignment="1" applyProtection="1">
      <alignment horizontal="center" vertical="center"/>
      <protection locked="0"/>
    </xf>
    <xf numFmtId="0" fontId="0" fillId="0" borderId="30" xfId="0" applyBorder="1" applyAlignment="1" applyProtection="1">
      <alignment horizontal="center" vertical="center" wrapText="1"/>
      <protection locked="0"/>
    </xf>
    <xf numFmtId="0" fontId="0" fillId="0" borderId="31" xfId="0" applyBorder="1" applyAlignment="1" applyProtection="1">
      <alignment horizontal="center" vertical="center" wrapText="1"/>
      <protection locked="0"/>
    </xf>
    <xf numFmtId="0" fontId="0" fillId="0" borderId="32"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0" fillId="0" borderId="3" xfId="0" applyBorder="1" applyAlignment="1" applyProtection="1">
      <alignment horizontal="center" vertical="center" wrapText="1"/>
      <protection locked="0"/>
    </xf>
    <xf numFmtId="0" fontId="0" fillId="0" borderId="16" xfId="0" applyBorder="1" applyAlignment="1" applyProtection="1">
      <alignment horizontal="center" vertical="center" wrapText="1"/>
      <protection locked="0"/>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0" borderId="6" xfId="0" applyBorder="1" applyAlignment="1" applyProtection="1">
      <alignment horizontal="center"/>
      <protection locked="0"/>
    </xf>
    <xf numFmtId="0" fontId="1" fillId="0" borderId="36" xfId="0" applyFont="1" applyBorder="1" applyAlignment="1" applyProtection="1">
      <alignment horizontal="center" vertical="center" wrapText="1"/>
      <protection locked="0"/>
    </xf>
    <xf numFmtId="0" fontId="1" fillId="0" borderId="37" xfId="0" applyFont="1" applyBorder="1" applyAlignment="1" applyProtection="1">
      <alignment horizontal="center" vertical="center" wrapText="1"/>
      <protection locked="0"/>
    </xf>
    <xf numFmtId="0" fontId="1" fillId="0" borderId="38" xfId="0" applyFont="1" applyBorder="1" applyAlignment="1" applyProtection="1">
      <alignment horizontal="center" vertical="center" wrapText="1"/>
      <protection locked="0"/>
    </xf>
    <xf numFmtId="0" fontId="1" fillId="0" borderId="39" xfId="0" applyFont="1" applyBorder="1" applyAlignment="1" applyProtection="1">
      <alignment horizontal="center" vertical="center" wrapText="1"/>
      <protection locked="0"/>
    </xf>
    <xf numFmtId="0" fontId="1" fillId="0" borderId="40" xfId="0" applyFont="1" applyBorder="1" applyAlignment="1" applyProtection="1">
      <alignment horizontal="center" vertical="center" wrapText="1"/>
      <protection locked="0"/>
    </xf>
    <xf numFmtId="0" fontId="0" fillId="0" borderId="61" xfId="0"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14" fillId="0" borderId="12" xfId="0" applyFont="1" applyBorder="1" applyAlignment="1" applyProtection="1">
      <alignment horizontal="center" vertical="center"/>
      <protection locked="0"/>
    </xf>
    <xf numFmtId="0" fontId="14" fillId="0" borderId="18" xfId="0" applyFont="1" applyBorder="1" applyAlignment="1" applyProtection="1">
      <alignment horizontal="center" vertical="center"/>
      <protection locked="0"/>
    </xf>
    <xf numFmtId="0" fontId="14" fillId="0" borderId="22" xfId="0" applyFont="1" applyBorder="1" applyAlignment="1" applyProtection="1">
      <alignment horizontal="center" vertical="center"/>
      <protection locked="0"/>
    </xf>
    <xf numFmtId="0" fontId="1" fillId="0" borderId="35" xfId="0" applyFont="1" applyBorder="1" applyAlignment="1" applyProtection="1">
      <alignment horizontal="center" vertical="center" wrapText="1"/>
      <protection locked="0"/>
    </xf>
    <xf numFmtId="0" fontId="1" fillId="0" borderId="19" xfId="0" applyFont="1" applyBorder="1" applyAlignment="1" applyProtection="1">
      <alignment horizontal="center" vertical="center" wrapText="1"/>
      <protection locked="0"/>
    </xf>
    <xf numFmtId="0" fontId="14" fillId="0" borderId="3" xfId="0" applyFont="1" applyBorder="1" applyAlignment="1" applyProtection="1">
      <alignment horizontal="center" vertical="center" wrapText="1"/>
      <protection locked="0"/>
    </xf>
    <xf numFmtId="0" fontId="14" fillId="0" borderId="28" xfId="0" applyFont="1" applyBorder="1" applyAlignment="1" applyProtection="1">
      <alignment horizontal="center" vertical="center" wrapText="1"/>
      <protection locked="0"/>
    </xf>
    <xf numFmtId="0" fontId="14" fillId="0" borderId="21" xfId="0" applyFont="1" applyBorder="1" applyAlignment="1" applyProtection="1">
      <alignment horizontal="center" vertical="center" wrapText="1"/>
      <protection locked="0"/>
    </xf>
    <xf numFmtId="0" fontId="14" fillId="0" borderId="23" xfId="0" applyFont="1" applyBorder="1" applyAlignment="1" applyProtection="1">
      <alignment horizontal="center" vertical="center" wrapText="1"/>
      <protection locked="0"/>
    </xf>
    <xf numFmtId="0" fontId="14" fillId="0" borderId="24" xfId="0" applyFont="1" applyBorder="1" applyAlignment="1" applyProtection="1">
      <alignment horizontal="center" vertical="center" wrapText="1"/>
      <protection locked="0"/>
    </xf>
    <xf numFmtId="0" fontId="10" fillId="9" borderId="42" xfId="0" applyFont="1" applyFill="1" applyBorder="1" applyAlignment="1" applyProtection="1">
      <alignment horizontal="center" vertical="center"/>
      <protection locked="0"/>
    </xf>
    <xf numFmtId="0" fontId="10" fillId="9" borderId="43" xfId="0" applyFont="1" applyFill="1" applyBorder="1" applyAlignment="1" applyProtection="1">
      <alignment horizontal="center" vertical="center"/>
      <protection locked="0"/>
    </xf>
    <xf numFmtId="0" fontId="10" fillId="9" borderId="44" xfId="0" applyFont="1" applyFill="1" applyBorder="1" applyAlignment="1" applyProtection="1">
      <alignment horizontal="center" vertical="center"/>
      <protection locked="0"/>
    </xf>
    <xf numFmtId="0" fontId="10" fillId="9" borderId="45" xfId="0" applyFont="1" applyFill="1" applyBorder="1" applyAlignment="1" applyProtection="1">
      <alignment horizontal="center" vertical="center"/>
      <protection locked="0"/>
    </xf>
    <xf numFmtId="0" fontId="14" fillId="0" borderId="26" xfId="0" applyFont="1" applyBorder="1" applyAlignment="1" applyProtection="1">
      <alignment horizontal="center" vertical="center"/>
      <protection locked="0"/>
    </xf>
    <xf numFmtId="0" fontId="1" fillId="0" borderId="46" xfId="0" applyFont="1" applyBorder="1" applyAlignment="1" applyProtection="1">
      <alignment horizontal="center" vertical="center" wrapText="1"/>
      <protection locked="0"/>
    </xf>
    <xf numFmtId="0" fontId="1" fillId="0" borderId="47" xfId="0" applyFont="1" applyBorder="1" applyAlignment="1" applyProtection="1">
      <alignment horizontal="center" vertical="center" wrapText="1"/>
      <protection locked="0"/>
    </xf>
    <xf numFmtId="0" fontId="1" fillId="0" borderId="21" xfId="0" applyFont="1" applyBorder="1" applyAlignment="1" applyProtection="1">
      <alignment horizontal="center" vertical="center" wrapText="1"/>
      <protection locked="0"/>
    </xf>
    <xf numFmtId="0" fontId="1" fillId="0" borderId="48" xfId="0" applyFont="1" applyBorder="1" applyAlignment="1" applyProtection="1">
      <alignment horizontal="center" vertical="center" wrapText="1"/>
      <protection locked="0"/>
    </xf>
    <xf numFmtId="0" fontId="1" fillId="0" borderId="49" xfId="0" applyFont="1" applyBorder="1" applyAlignment="1" applyProtection="1">
      <alignment horizontal="center" vertical="center" wrapText="1"/>
      <protection locked="0"/>
    </xf>
    <xf numFmtId="0" fontId="1" fillId="0" borderId="50" xfId="0" applyFont="1" applyBorder="1" applyAlignment="1" applyProtection="1">
      <alignment horizontal="center" vertical="center" wrapText="1"/>
      <protection locked="0"/>
    </xf>
    <xf numFmtId="0" fontId="1" fillId="0" borderId="51" xfId="0" applyFont="1" applyBorder="1" applyAlignment="1" applyProtection="1">
      <alignment horizontal="center" vertical="center" wrapText="1"/>
      <protection locked="0"/>
    </xf>
    <xf numFmtId="0" fontId="1" fillId="0" borderId="52" xfId="0" applyFont="1" applyBorder="1" applyAlignment="1" applyProtection="1">
      <alignment horizontal="center" vertical="center" wrapText="1"/>
      <protection locked="0"/>
    </xf>
    <xf numFmtId="0" fontId="1" fillId="0" borderId="53" xfId="0" applyFont="1" applyBorder="1" applyAlignment="1" applyProtection="1">
      <alignment horizontal="center" vertical="center" wrapText="1"/>
      <protection locked="0"/>
    </xf>
    <xf numFmtId="0" fontId="1" fillId="0" borderId="54" xfId="0" applyFont="1" applyBorder="1" applyAlignment="1" applyProtection="1">
      <alignment horizontal="center" vertical="center" wrapText="1"/>
      <protection locked="0"/>
    </xf>
    <xf numFmtId="0" fontId="1" fillId="0" borderId="3" xfId="0" applyFont="1" applyBorder="1" applyAlignment="1" applyProtection="1">
      <alignment horizontal="center" vertical="center" wrapText="1"/>
      <protection locked="0"/>
    </xf>
    <xf numFmtId="0" fontId="1" fillId="0" borderId="55" xfId="0" applyFont="1" applyBorder="1" applyAlignment="1" applyProtection="1">
      <alignment horizontal="center" vertical="center" wrapText="1"/>
      <protection locked="0"/>
    </xf>
    <xf numFmtId="0" fontId="1" fillId="0" borderId="56" xfId="0" applyFont="1" applyBorder="1" applyAlignment="1" applyProtection="1">
      <alignment horizontal="center" vertical="center" wrapText="1"/>
      <protection locked="0"/>
    </xf>
    <xf numFmtId="0" fontId="1" fillId="0" borderId="57" xfId="0" applyFont="1" applyBorder="1" applyAlignment="1" applyProtection="1">
      <alignment horizontal="center" vertical="center" wrapText="1"/>
      <protection locked="0"/>
    </xf>
    <xf numFmtId="0" fontId="1" fillId="0" borderId="58" xfId="0" applyFont="1" applyBorder="1" applyAlignment="1" applyProtection="1">
      <alignment horizontal="center" vertical="center" wrapText="1"/>
      <protection locked="0"/>
    </xf>
    <xf numFmtId="0" fontId="14" fillId="0" borderId="51" xfId="0" applyFont="1" applyBorder="1" applyAlignment="1" applyProtection="1">
      <alignment horizontal="center" vertical="center"/>
      <protection locked="0"/>
    </xf>
    <xf numFmtId="0" fontId="14" fillId="0" borderId="59" xfId="0" applyFont="1" applyBorder="1" applyAlignment="1" applyProtection="1">
      <alignment horizontal="center" vertical="center"/>
      <protection locked="0"/>
    </xf>
    <xf numFmtId="0" fontId="14" fillId="0" borderId="54" xfId="0" applyFont="1"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14" fillId="0" borderId="56" xfId="0" applyFont="1" applyBorder="1" applyAlignment="1" applyProtection="1">
      <alignment horizontal="center" vertical="center"/>
      <protection locked="0"/>
    </xf>
    <xf numFmtId="0" fontId="14" fillId="0" borderId="60" xfId="0" applyFont="1" applyBorder="1" applyAlignment="1" applyProtection="1">
      <alignment horizontal="center" vertical="center"/>
      <protection locked="0"/>
    </xf>
    <xf numFmtId="2" fontId="0" fillId="0" borderId="3" xfId="0" applyNumberFormat="1" applyBorder="1" applyAlignment="1">
      <alignment horizontal="center" vertical="center"/>
    </xf>
    <xf numFmtId="0" fontId="14" fillId="0" borderId="29" xfId="0" applyFont="1" applyBorder="1" applyAlignment="1" applyProtection="1">
      <alignment horizontal="center" vertical="center" wrapText="1"/>
      <protection locked="0"/>
    </xf>
    <xf numFmtId="0" fontId="14" fillId="0" borderId="25" xfId="0" applyFont="1" applyBorder="1" applyAlignment="1" applyProtection="1">
      <alignment horizontal="center" vertical="center" wrapText="1"/>
      <protection locked="0"/>
    </xf>
    <xf numFmtId="0" fontId="0" fillId="0" borderId="0" xfId="0" applyAlignment="1" applyProtection="1">
      <alignment horizontal="center"/>
      <protection locked="0"/>
    </xf>
    <xf numFmtId="0" fontId="3" fillId="6" borderId="0" xfId="0" applyFont="1" applyFill="1" applyAlignment="1" applyProtection="1">
      <alignment horizontal="center" vertical="center"/>
      <protection locked="0"/>
    </xf>
    <xf numFmtId="0" fontId="22" fillId="0" borderId="0" xfId="0" applyFont="1" applyAlignment="1" applyProtection="1">
      <alignment horizontal="center"/>
      <protection locked="0"/>
    </xf>
    <xf numFmtId="0" fontId="10" fillId="8" borderId="12" xfId="0"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protection locked="0"/>
    </xf>
    <xf numFmtId="0" fontId="10" fillId="8" borderId="22" xfId="0" applyFont="1" applyFill="1" applyBorder="1" applyAlignment="1" applyProtection="1">
      <alignment horizontal="center" vertical="center"/>
      <protection locked="0"/>
    </xf>
    <xf numFmtId="0" fontId="1" fillId="0" borderId="41" xfId="0" applyFont="1" applyBorder="1" applyAlignment="1" applyProtection="1">
      <alignment horizontal="center" vertical="center" wrapText="1"/>
      <protection locked="0"/>
    </xf>
    <xf numFmtId="0" fontId="0" fillId="10" borderId="28" xfId="0" applyFill="1" applyBorder="1" applyAlignment="1" applyProtection="1">
      <alignment horizontal="center" vertical="center" wrapText="1"/>
      <protection locked="0"/>
    </xf>
    <xf numFmtId="0" fontId="0" fillId="10" borderId="21" xfId="0" applyFill="1" applyBorder="1" applyAlignment="1" applyProtection="1">
      <alignment horizontal="center" vertical="center" wrapText="1"/>
      <protection locked="0"/>
    </xf>
    <xf numFmtId="0" fontId="0" fillId="10" borderId="29" xfId="0" applyFill="1" applyBorder="1" applyAlignment="1" applyProtection="1">
      <alignment horizontal="center" vertical="center" wrapText="1"/>
      <protection locked="0"/>
    </xf>
    <xf numFmtId="0" fontId="29" fillId="0" borderId="3" xfId="0" applyFont="1" applyBorder="1" applyAlignment="1" applyProtection="1">
      <alignment horizontal="center" vertical="center" shrinkToFit="1"/>
      <protection locked="0"/>
    </xf>
    <xf numFmtId="0" fontId="0" fillId="11" borderId="28" xfId="0" applyFill="1" applyBorder="1" applyAlignment="1" applyProtection="1">
      <alignment horizontal="center" vertical="center" wrapText="1"/>
      <protection locked="0"/>
    </xf>
    <xf numFmtId="0" fontId="0" fillId="11" borderId="21" xfId="0" applyFill="1" applyBorder="1" applyAlignment="1" applyProtection="1">
      <alignment horizontal="center" vertical="center" wrapText="1"/>
      <protection locked="0"/>
    </xf>
    <xf numFmtId="0" fontId="0" fillId="11" borderId="29" xfId="0" applyFill="1" applyBorder="1" applyAlignment="1" applyProtection="1">
      <alignment horizontal="center" vertical="center" wrapText="1"/>
      <protection locked="0"/>
    </xf>
    <xf numFmtId="0" fontId="14" fillId="0" borderId="24" xfId="0" applyFont="1" applyBorder="1" applyAlignment="1" applyProtection="1">
      <alignment horizontal="center" vertical="center"/>
      <protection locked="0"/>
    </xf>
    <xf numFmtId="0" fontId="14" fillId="0" borderId="29" xfId="0" applyFont="1" applyBorder="1" applyAlignment="1" applyProtection="1">
      <alignment horizontal="center" vertical="center"/>
      <protection locked="0"/>
    </xf>
    <xf numFmtId="0" fontId="14" fillId="0" borderId="25" xfId="0" applyFont="1" applyBorder="1" applyAlignment="1" applyProtection="1">
      <alignment horizontal="center" vertical="center"/>
      <protection locked="0"/>
    </xf>
    <xf numFmtId="0" fontId="0" fillId="7" borderId="12" xfId="0" applyFill="1" applyBorder="1" applyAlignment="1" applyProtection="1">
      <alignment horizontal="center" vertical="center" wrapText="1"/>
      <protection locked="0"/>
    </xf>
    <xf numFmtId="0" fontId="0" fillId="7" borderId="18" xfId="0" applyFill="1" applyBorder="1" applyAlignment="1" applyProtection="1">
      <alignment horizontal="center" vertical="center" wrapText="1"/>
      <protection locked="0"/>
    </xf>
    <xf numFmtId="0" fontId="0" fillId="7" borderId="22" xfId="0" applyFill="1" applyBorder="1" applyAlignment="1" applyProtection="1">
      <alignment horizontal="center" vertical="center" wrapText="1"/>
      <protection locked="0"/>
    </xf>
    <xf numFmtId="0" fontId="10" fillId="0" borderId="3" xfId="0" applyFont="1" applyBorder="1" applyAlignment="1">
      <alignment horizontal="center" vertical="center"/>
    </xf>
    <xf numFmtId="0" fontId="10" fillId="0" borderId="33" xfId="0" applyFont="1" applyBorder="1" applyAlignment="1">
      <alignment horizontal="center" vertical="center"/>
    </xf>
    <xf numFmtId="0" fontId="10" fillId="0" borderId="0" xfId="0" applyFont="1" applyAlignment="1">
      <alignment horizontal="center" vertical="center"/>
    </xf>
    <xf numFmtId="0" fontId="10" fillId="0" borderId="62" xfId="0" applyFont="1" applyBorder="1" applyAlignment="1">
      <alignment horizontal="center" vertical="center"/>
    </xf>
    <xf numFmtId="0" fontId="14" fillId="0" borderId="59" xfId="0" applyFont="1" applyBorder="1" applyAlignment="1" applyProtection="1">
      <alignment horizontal="center" vertical="center" wrapText="1"/>
      <protection locked="0"/>
    </xf>
    <xf numFmtId="0" fontId="14" fillId="0" borderId="69" xfId="0" applyFont="1" applyBorder="1" applyAlignment="1" applyProtection="1">
      <alignment horizontal="center" vertical="center" wrapText="1"/>
      <protection locked="0"/>
    </xf>
    <xf numFmtId="0" fontId="14" fillId="0" borderId="70" xfId="0" applyFont="1" applyBorder="1" applyAlignment="1" applyProtection="1">
      <alignment horizontal="center" vertical="center" wrapText="1"/>
      <protection locked="0"/>
    </xf>
    <xf numFmtId="0" fontId="14" fillId="0" borderId="4"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14" fillId="0" borderId="6" xfId="0" applyFont="1" applyBorder="1" applyAlignment="1" applyProtection="1">
      <alignment horizontal="center" vertical="center" wrapText="1"/>
      <protection locked="0"/>
    </xf>
    <xf numFmtId="0" fontId="18" fillId="0" borderId="63" xfId="0" applyFont="1" applyBorder="1" applyAlignment="1">
      <alignment horizontal="center" vertical="center"/>
    </xf>
    <xf numFmtId="0" fontId="18" fillId="0" borderId="68" xfId="0" applyFont="1" applyBorder="1" applyAlignment="1">
      <alignment horizontal="center" vertical="center"/>
    </xf>
    <xf numFmtId="0" fontId="13" fillId="0" borderId="63" xfId="0" pivotButton="1" applyFont="1" applyBorder="1" applyAlignment="1">
      <alignment horizontal="center" vertical="center"/>
    </xf>
    <xf numFmtId="0" fontId="0" fillId="0" borderId="71" xfId="0" applyBorder="1" applyAlignment="1">
      <alignment horizontal="center" vertical="center"/>
    </xf>
    <xf numFmtId="2" fontId="0" fillId="0" borderId="63" xfId="0" applyNumberFormat="1" applyFill="1" applyBorder="1" applyAlignment="1">
      <alignment horizontal="center" vertical="center"/>
    </xf>
    <xf numFmtId="2" fontId="0" fillId="0" borderId="64" xfId="0" applyNumberFormat="1" applyFill="1" applyBorder="1" applyAlignment="1">
      <alignment horizontal="center" vertical="center"/>
    </xf>
    <xf numFmtId="0" fontId="0" fillId="0" borderId="63" xfId="0" applyFill="1" applyBorder="1" applyAlignment="1">
      <alignment horizontal="center" vertical="center"/>
    </xf>
    <xf numFmtId="0" fontId="0" fillId="0" borderId="72" xfId="0" applyFill="1" applyBorder="1" applyAlignment="1">
      <alignment horizontal="center" vertical="center"/>
    </xf>
    <xf numFmtId="0" fontId="7" fillId="3" borderId="63" xfId="0" applyFont="1" applyFill="1" applyBorder="1" applyAlignment="1">
      <alignment horizontal="center" vertical="center"/>
    </xf>
    <xf numFmtId="0" fontId="7" fillId="0" borderId="63" xfId="0" applyFont="1" applyBorder="1" applyAlignment="1">
      <alignment horizontal="center" vertical="center"/>
    </xf>
  </cellXfs>
  <cellStyles count="3">
    <cellStyle name="Good 2" xfId="1" xr:uid="{8519A3A5-F0A6-4A48-996D-545AE3BE2CB1}"/>
    <cellStyle name="Normal" xfId="0" builtinId="0"/>
    <cellStyle name="Normal 2" xfId="2" xr:uid="{A4A93562-A120-432E-B614-948A97533114}"/>
  </cellStyles>
  <dxfs count="394">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fill>
        <patternFill patternType="solid">
          <bgColor theme="0" tint="-0.14999847407452621"/>
        </patternFill>
      </fill>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ont>
        <name val="Arial"/>
        <scheme val="none"/>
      </font>
    </dxf>
    <dxf>
      <numFmt numFmtId="1" formatCode="0"/>
    </dxf>
    <dxf>
      <numFmt numFmtId="1" formatCode="0"/>
    </dxf>
    <dxf>
      <numFmt numFmtId="1" formatCode="0"/>
    </dxf>
    <dxf>
      <alignment vertical="center"/>
    </dxf>
    <dxf>
      <alignment vertical="center"/>
    </dxf>
    <dxf>
      <alignment horizontal="center"/>
    </dxf>
    <dxf>
      <alignment horizontal="center"/>
    </dxf>
    <dxf>
      <font>
        <b/>
      </font>
    </dxf>
    <dxf>
      <font>
        <sz val="20"/>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patternType="solid">
          <fgColor indexed="64"/>
          <bgColor theme="0" tint="-0.14999847407452621"/>
        </patternFill>
      </fill>
    </dxf>
    <dxf>
      <font>
        <name val="Arial"/>
        <scheme val="none"/>
      </font>
    </dxf>
    <dxf>
      <fill>
        <patternFill>
          <bgColor theme="0" tint="-0.14999847407452621"/>
        </patternFill>
      </fill>
    </dxf>
    <dxf>
      <numFmt numFmtId="2" formatCode="0.00"/>
    </dxf>
    <dxf>
      <numFmt numFmtId="2" formatCode="0.00"/>
    </dxf>
    <dxf>
      <alignment vertical="center"/>
    </dxf>
    <dxf>
      <alignment vertical="center"/>
    </dxf>
    <dxf>
      <alignment horizontal="center"/>
    </dxf>
    <dxf>
      <alignment horizontal="center"/>
    </dxf>
    <dxf>
      <font>
        <b/>
      </font>
    </dxf>
    <dxf>
      <font>
        <sz val="20"/>
      </font>
    </dxf>
    <dxf>
      <fill>
        <patternFill patternType="solid">
          <bgColor theme="6" tint="0.59999389629810485"/>
        </patternFill>
      </fill>
    </dxf>
    <dxf>
      <fill>
        <patternFill patternType="none">
          <bgColor indexed="65"/>
        </patternFill>
      </fill>
    </dxf>
    <dxf>
      <fill>
        <patternFill patternType="none">
          <bgColor indexed="65"/>
        </patternFill>
      </fill>
    </dxf>
    <dxf>
      <fill>
        <patternFill patternType="none">
          <bgColor indexed="65"/>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border>
        <left style="thin">
          <color indexed="64"/>
        </left>
        <top style="thin">
          <color indexed="64"/>
        </top>
        <bottom style="thin">
          <color indexed="64"/>
        </bottom>
      </border>
    </dxf>
    <dxf>
      <border>
        <left style="thin">
          <color indexed="64"/>
        </left>
        <top style="thin">
          <color indexed="64"/>
        </top>
        <bottom style="thin">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name val="Arial"/>
        <scheme val="none"/>
      </font>
    </dxf>
    <dxf>
      <fill>
        <patternFill patternType="solid">
          <bgColor theme="0" tint="-0.14999847407452621"/>
        </patternFill>
      </fill>
    </dxf>
    <dxf>
      <fill>
        <patternFill patternType="solid">
          <bgColor theme="0" tint="-0.14999847407452621"/>
        </patternFill>
      </fill>
    </dxf>
    <dxf>
      <numFmt numFmtId="2" formatCode="0.00"/>
    </dxf>
    <dxf>
      <numFmt numFmtId="2" formatCode="0.00"/>
    </dxf>
    <dxf>
      <alignment vertical="center"/>
    </dxf>
    <dxf>
      <alignment vertical="center"/>
    </dxf>
    <dxf>
      <alignment horizontal="center"/>
    </dxf>
    <dxf>
      <alignment horizontal="center"/>
    </dxf>
    <dxf>
      <font>
        <b/>
      </font>
    </dxf>
    <dxf>
      <font>
        <sz val="20"/>
      </font>
    </dxf>
    <dxf>
      <fill>
        <patternFill patternType="solid">
          <bgColor theme="6" tint="0.59999389629810485"/>
        </patternFill>
      </fill>
    </dxf>
    <dxf>
      <font>
        <color theme="0"/>
        <family val="2"/>
      </font>
    </dxf>
    <dxf>
      <font>
        <color theme="0"/>
        <family val="2"/>
      </font>
    </dxf>
    <dxf>
      <font>
        <color theme="0"/>
        <family val="2"/>
      </font>
    </dxf>
    <dxf>
      <font>
        <color theme="0"/>
        <family val="2"/>
      </font>
    </dxf>
    <dxf>
      <font>
        <color theme="0"/>
        <family val="2"/>
      </font>
    </dxf>
    <dxf>
      <font>
        <color theme="0"/>
        <family val="2"/>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border>
        <left style="thin">
          <color indexed="64"/>
        </left>
        <top style="thin">
          <color indexed="64"/>
        </top>
        <bottom style="thin">
          <color indexed="64"/>
        </bottom>
      </border>
    </dxf>
    <dxf>
      <border>
        <left style="thin">
          <color indexed="64"/>
        </left>
        <top style="thin">
          <color indexed="64"/>
        </top>
        <bottom style="thin">
          <color indexed="64"/>
        </bottom>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name val="Arial"/>
        <scheme val="none"/>
      </font>
    </dxf>
    <dxf>
      <fill>
        <patternFill patternType="solid">
          <bgColor theme="0" tint="-0.14999847407452621"/>
        </patternFill>
      </fill>
    </dxf>
    <dxf>
      <fill>
        <patternFill patternType="solid">
          <bgColor theme="0" tint="-0.14999847407452621"/>
        </patternFill>
      </fill>
    </dxf>
    <dxf>
      <numFmt numFmtId="2" formatCode="0.00"/>
    </dxf>
    <dxf>
      <numFmt numFmtId="2" formatCode="0.00"/>
    </dxf>
    <dxf>
      <alignment vertical="center"/>
    </dxf>
    <dxf>
      <alignment vertical="center"/>
    </dxf>
    <dxf>
      <alignment horizontal="center"/>
    </dxf>
    <dxf>
      <alignment horizontal="center"/>
    </dxf>
    <dxf>
      <font>
        <b/>
      </font>
    </dxf>
    <dxf>
      <font>
        <sz val="20"/>
      </font>
    </dxf>
    <dxf>
      <fill>
        <patternFill patternType="solid">
          <bgColor theme="6" tint="0.599993896298104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21" Type="http://schemas.openxmlformats.org/officeDocument/2006/relationships/pivotCacheDefinition" Target="pivotCache/pivotCacheDefinition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sharedStrings" Target="sharedString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0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05.png"/></Relationships>
</file>

<file path=xl/drawings/_rels/drawing4.xml.rels><?xml version="1.0" encoding="UTF-8" standalone="yes"?>
<Relationships xmlns="http://schemas.openxmlformats.org/package/2006/relationships"><Relationship Id="rId1" Type="http://schemas.openxmlformats.org/officeDocument/2006/relationships/image" Target="../media/image10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07.png"/><Relationship Id="rId2" Type="http://schemas.openxmlformats.org/officeDocument/2006/relationships/image" Target="../media/image106.png"/><Relationship Id="rId1" Type="http://schemas.openxmlformats.org/officeDocument/2006/relationships/image" Target="../media/image105.png"/><Relationship Id="rId5" Type="http://schemas.openxmlformats.org/officeDocument/2006/relationships/image" Target="../media/image109.png"/><Relationship Id="rId4" Type="http://schemas.openxmlformats.org/officeDocument/2006/relationships/image" Target="../media/image108.png"/></Relationships>
</file>

<file path=xl/drawings/_rels/drawing6.xml.rels><?xml version="1.0" encoding="UTF-8" standalone="yes"?>
<Relationships xmlns="http://schemas.openxmlformats.org/package/2006/relationships"><Relationship Id="rId1" Type="http://schemas.openxmlformats.org/officeDocument/2006/relationships/image" Target="../media/image105.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5.png"/></Relationships>
</file>

<file path=xl/drawings/_rels/drawing8.xml.rels><?xml version="1.0" encoding="UTF-8" standalone="yes"?>
<Relationships xmlns="http://schemas.openxmlformats.org/package/2006/relationships"><Relationship Id="rId1" Type="http://schemas.openxmlformats.org/officeDocument/2006/relationships/image" Target="../media/image10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0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05.png"/></Relationships>
</file>

<file path=xl/drawings/drawing1.xml><?xml version="1.0" encoding="utf-8"?>
<xdr:wsDr xmlns:xdr="http://schemas.openxmlformats.org/drawingml/2006/spreadsheetDrawing" xmlns:a="http://schemas.openxmlformats.org/drawingml/2006/main">
  <xdr:twoCellAnchor editAs="oneCell">
    <xdr:from>
      <xdr:col>3</xdr:col>
      <xdr:colOff>323850</xdr:colOff>
      <xdr:row>0</xdr:row>
      <xdr:rowOff>0</xdr:rowOff>
    </xdr:from>
    <xdr:to>
      <xdr:col>4</xdr:col>
      <xdr:colOff>1009650</xdr:colOff>
      <xdr:row>7</xdr:row>
      <xdr:rowOff>381000</xdr:rowOff>
    </xdr:to>
    <xdr:pic>
      <xdr:nvPicPr>
        <xdr:cNvPr id="436354" name="Picture 1">
          <a:extLst>
            <a:ext uri="{FF2B5EF4-FFF2-40B4-BE49-F238E27FC236}">
              <a16:creationId xmlns:a16="http://schemas.microsoft.com/office/drawing/2014/main" id="{A1FC68CD-958C-7634-EFE1-4C9E2FFB4D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57375" y="0"/>
          <a:ext cx="2228850"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695325</xdr:colOff>
      <xdr:row>3</xdr:row>
      <xdr:rowOff>85725</xdr:rowOff>
    </xdr:to>
    <xdr:pic>
      <xdr:nvPicPr>
        <xdr:cNvPr id="434214" name="Picture 2">
          <a:extLst>
            <a:ext uri="{FF2B5EF4-FFF2-40B4-BE49-F238E27FC236}">
              <a16:creationId xmlns:a16="http://schemas.microsoft.com/office/drawing/2014/main" id="{C226E246-1EB9-33FC-97CE-670EF48634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0"/>
          <a:ext cx="2295525"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695325</xdr:colOff>
      <xdr:row>3</xdr:row>
      <xdr:rowOff>85725</xdr:rowOff>
    </xdr:to>
    <xdr:pic>
      <xdr:nvPicPr>
        <xdr:cNvPr id="433154" name="Picture 2">
          <a:extLst>
            <a:ext uri="{FF2B5EF4-FFF2-40B4-BE49-F238E27FC236}">
              <a16:creationId xmlns:a16="http://schemas.microsoft.com/office/drawing/2014/main" id="{542093E4-21DE-EFF7-1B06-7C0D2CF4BC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0"/>
          <a:ext cx="2295525"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238125</xdr:colOff>
      <xdr:row>2</xdr:row>
      <xdr:rowOff>361950</xdr:rowOff>
    </xdr:to>
    <xdr:pic>
      <xdr:nvPicPr>
        <xdr:cNvPr id="432749" name="Picture 2">
          <a:extLst>
            <a:ext uri="{FF2B5EF4-FFF2-40B4-BE49-F238E27FC236}">
              <a16:creationId xmlns:a16="http://schemas.microsoft.com/office/drawing/2014/main" id="{3F3CDADB-F81F-2743-55A7-3B5EA1228B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105025"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9</xdr:col>
          <xdr:colOff>717550</xdr:colOff>
          <xdr:row>7</xdr:row>
          <xdr:rowOff>342900</xdr:rowOff>
        </xdr:from>
        <xdr:to>
          <xdr:col>11</xdr:col>
          <xdr:colOff>63500</xdr:colOff>
          <xdr:row>10</xdr:row>
          <xdr:rowOff>44450</xdr:rowOff>
        </xdr:to>
        <xdr:sp macro="" textlink="">
          <xdr:nvSpPr>
            <xdr:cNvPr id="320513" name="Button 1" hidden="1">
              <a:extLst>
                <a:ext uri="{63B3BB69-23CF-44E3-9099-C40C66FF867C}">
                  <a14:compatExt spid="_x0000_s320513"/>
                </a:ext>
                <a:ext uri="{FF2B5EF4-FFF2-40B4-BE49-F238E27FC236}">
                  <a16:creationId xmlns:a16="http://schemas.microsoft.com/office/drawing/2014/main" id="{00000000-0008-0000-0600-000001E40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Fill XMLTemplate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31750</xdr:colOff>
          <xdr:row>5</xdr:row>
          <xdr:rowOff>0</xdr:rowOff>
        </xdr:from>
        <xdr:to>
          <xdr:col>4</xdr:col>
          <xdr:colOff>25400</xdr:colOff>
          <xdr:row>7</xdr:row>
          <xdr:rowOff>76200</xdr:rowOff>
        </xdr:to>
        <xdr:sp macro="" textlink="">
          <xdr:nvSpPr>
            <xdr:cNvPr id="320514" name="Button 2" hidden="1">
              <a:extLst>
                <a:ext uri="{63B3BB69-23CF-44E3-9099-C40C66FF867C}">
                  <a14:compatExt spid="_x0000_s320514"/>
                </a:ext>
                <a:ext uri="{FF2B5EF4-FFF2-40B4-BE49-F238E27FC236}">
                  <a16:creationId xmlns:a16="http://schemas.microsoft.com/office/drawing/2014/main" id="{00000000-0008-0000-0600-000002E40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DisplayAllSheets</a:t>
              </a:r>
            </a:p>
          </xdr:txBody>
        </xdr:sp>
        <xdr:clientData fPrintsWithSheet="0"/>
      </xdr:twoCellAnchor>
    </mc:Choice>
    <mc:Fallback/>
  </mc:AlternateContent>
  <xdr:twoCellAnchor editAs="oneCell">
    <xdr:from>
      <xdr:col>9</xdr:col>
      <xdr:colOff>19050</xdr:colOff>
      <xdr:row>14</xdr:row>
      <xdr:rowOff>342900</xdr:rowOff>
    </xdr:from>
    <xdr:to>
      <xdr:col>12</xdr:col>
      <xdr:colOff>9525</xdr:colOff>
      <xdr:row>22</xdr:row>
      <xdr:rowOff>142875</xdr:rowOff>
    </xdr:to>
    <xdr:pic>
      <xdr:nvPicPr>
        <xdr:cNvPr id="432750" name="Picture 1">
          <a:extLst>
            <a:ext uri="{FF2B5EF4-FFF2-40B4-BE49-F238E27FC236}">
              <a16:creationId xmlns:a16="http://schemas.microsoft.com/office/drawing/2014/main" id="{0AEC60D3-17B4-47B2-0E57-D0E2F5216FA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87050" y="3714750"/>
          <a:ext cx="2314575" cy="1876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10</xdr:col>
          <xdr:colOff>0</xdr:colOff>
          <xdr:row>11</xdr:row>
          <xdr:rowOff>260350</xdr:rowOff>
        </xdr:from>
        <xdr:to>
          <xdr:col>11</xdr:col>
          <xdr:colOff>82550</xdr:colOff>
          <xdr:row>13</xdr:row>
          <xdr:rowOff>336550</xdr:rowOff>
        </xdr:to>
        <xdr:sp macro="" textlink="">
          <xdr:nvSpPr>
            <xdr:cNvPr id="320515" name="Button 3" hidden="1">
              <a:extLst>
                <a:ext uri="{63B3BB69-23CF-44E3-9099-C40C66FF867C}">
                  <a14:compatExt spid="_x0000_s320515"/>
                </a:ext>
                <a:ext uri="{FF2B5EF4-FFF2-40B4-BE49-F238E27FC236}">
                  <a16:creationId xmlns:a16="http://schemas.microsoft.com/office/drawing/2014/main" id="{00000000-0008-0000-0600-000003E40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Debug XML</a:t>
              </a:r>
            </a:p>
          </xdr:txBody>
        </xdr:sp>
        <xdr:clientData fPrintsWithSheet="0"/>
      </xdr:twoCellAnchor>
    </mc:Choice>
    <mc:Fallback/>
  </mc:AlternateContent>
  <xdr:twoCellAnchor editAs="oneCell">
    <xdr:from>
      <xdr:col>13</xdr:col>
      <xdr:colOff>0</xdr:colOff>
      <xdr:row>0</xdr:row>
      <xdr:rowOff>0</xdr:rowOff>
    </xdr:from>
    <xdr:to>
      <xdr:col>15</xdr:col>
      <xdr:colOff>771525</xdr:colOff>
      <xdr:row>2</xdr:row>
      <xdr:rowOff>361950</xdr:rowOff>
    </xdr:to>
    <xdr:pic>
      <xdr:nvPicPr>
        <xdr:cNvPr id="432751" name="Picture 2">
          <a:extLst>
            <a:ext uri="{FF2B5EF4-FFF2-40B4-BE49-F238E27FC236}">
              <a16:creationId xmlns:a16="http://schemas.microsoft.com/office/drawing/2014/main" id="{3041F245-BE45-7FA5-91F8-B8ADA300C3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73225" y="0"/>
          <a:ext cx="22860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26</xdr:col>
      <xdr:colOff>0</xdr:colOff>
      <xdr:row>0</xdr:row>
      <xdr:rowOff>0</xdr:rowOff>
    </xdr:from>
    <xdr:to>
      <xdr:col>28</xdr:col>
      <xdr:colOff>771525</xdr:colOff>
      <xdr:row>2</xdr:row>
      <xdr:rowOff>361950</xdr:rowOff>
    </xdr:to>
    <xdr:pic>
      <xdr:nvPicPr>
        <xdr:cNvPr id="432752" name="Picture 2">
          <a:extLst>
            <a:ext uri="{FF2B5EF4-FFF2-40B4-BE49-F238E27FC236}">
              <a16:creationId xmlns:a16="http://schemas.microsoft.com/office/drawing/2014/main" id="{F96DE593-20DA-8D74-E768-176D943239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279225" y="0"/>
          <a:ext cx="228600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238125</xdr:colOff>
      <xdr:row>0</xdr:row>
      <xdr:rowOff>304800</xdr:rowOff>
    </xdr:from>
    <xdr:to>
      <xdr:col>24</xdr:col>
      <xdr:colOff>866775</xdr:colOff>
      <xdr:row>2</xdr:row>
      <xdr:rowOff>104775</xdr:rowOff>
    </xdr:to>
    <xdr:pic macro="[0]!SelectMainXMLTpDetails">
      <xdr:nvPicPr>
        <xdr:cNvPr id="432753" name="Picture 2">
          <a:extLst>
            <a:ext uri="{FF2B5EF4-FFF2-40B4-BE49-F238E27FC236}">
              <a16:creationId xmlns:a16="http://schemas.microsoft.com/office/drawing/2014/main" id="{78D45185-FD0B-6CE4-5B80-57B827417F8F}"/>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993350" y="247650"/>
          <a:ext cx="523875"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228600</xdr:colOff>
      <xdr:row>7</xdr:row>
      <xdr:rowOff>104775</xdr:rowOff>
    </xdr:from>
    <xdr:to>
      <xdr:col>12</xdr:col>
      <xdr:colOff>66675</xdr:colOff>
      <xdr:row>8</xdr:row>
      <xdr:rowOff>276225</xdr:rowOff>
    </xdr:to>
    <xdr:pic macro="[0]!SelectFillXMLTpDetails">
      <xdr:nvPicPr>
        <xdr:cNvPr id="432754" name="Picture 3">
          <a:extLst>
            <a:ext uri="{FF2B5EF4-FFF2-40B4-BE49-F238E27FC236}">
              <a16:creationId xmlns:a16="http://schemas.microsoft.com/office/drawing/2014/main" id="{FDD133AC-7C1B-DC96-4583-48974B5922C6}"/>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2763500" y="1838325"/>
          <a:ext cx="295275"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247650</xdr:colOff>
      <xdr:row>11</xdr:row>
      <xdr:rowOff>85725</xdr:rowOff>
    </xdr:from>
    <xdr:to>
      <xdr:col>12</xdr:col>
      <xdr:colOff>95250</xdr:colOff>
      <xdr:row>12</xdr:row>
      <xdr:rowOff>257175</xdr:rowOff>
    </xdr:to>
    <xdr:pic macro="[0]!SelectDebugXMLTpDetails">
      <xdr:nvPicPr>
        <xdr:cNvPr id="432755" name="Picture 12">
          <a:extLst>
            <a:ext uri="{FF2B5EF4-FFF2-40B4-BE49-F238E27FC236}">
              <a16:creationId xmlns:a16="http://schemas.microsoft.com/office/drawing/2014/main" id="{5BD7F176-E73E-6239-8AD6-CB976009B228}"/>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2782550" y="2809875"/>
          <a:ext cx="30480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37</xdr:col>
      <xdr:colOff>342900</xdr:colOff>
      <xdr:row>0</xdr:row>
      <xdr:rowOff>333375</xdr:rowOff>
    </xdr:from>
    <xdr:to>
      <xdr:col>37</xdr:col>
      <xdr:colOff>981075</xdr:colOff>
      <xdr:row>2</xdr:row>
      <xdr:rowOff>133350</xdr:rowOff>
    </xdr:to>
    <xdr:pic macro="[0]!SelectMainXMLTpDetails">
      <xdr:nvPicPr>
        <xdr:cNvPr id="432756" name="Picture 13">
          <a:extLst>
            <a:ext uri="{FF2B5EF4-FFF2-40B4-BE49-F238E27FC236}">
              <a16:creationId xmlns:a16="http://schemas.microsoft.com/office/drawing/2014/main" id="{28BA94C4-CD86-6E7E-EBB0-77604B6402BE}"/>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33004125" y="247650"/>
          <a:ext cx="419100"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219075</xdr:colOff>
      <xdr:row>17</xdr:row>
      <xdr:rowOff>19050</xdr:rowOff>
    </xdr:from>
    <xdr:to>
      <xdr:col>7</xdr:col>
      <xdr:colOff>2057400</xdr:colOff>
      <xdr:row>17</xdr:row>
      <xdr:rowOff>361950</xdr:rowOff>
    </xdr:to>
    <xdr:pic>
      <xdr:nvPicPr>
        <xdr:cNvPr id="432757" name="Picture 1">
          <a:extLst>
            <a:ext uri="{FF2B5EF4-FFF2-40B4-BE49-F238E27FC236}">
              <a16:creationId xmlns:a16="http://schemas.microsoft.com/office/drawing/2014/main" id="{F29FEE35-9171-E32A-E699-BEBEFBECCC0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019675" y="4229100"/>
          <a:ext cx="4181475"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8</xdr:col>
          <xdr:colOff>1060450</xdr:colOff>
          <xdr:row>8</xdr:row>
          <xdr:rowOff>260350</xdr:rowOff>
        </xdr:from>
        <xdr:to>
          <xdr:col>9</xdr:col>
          <xdr:colOff>25400</xdr:colOff>
          <xdr:row>10</xdr:row>
          <xdr:rowOff>76200</xdr:rowOff>
        </xdr:to>
        <xdr:sp macro="" textlink="">
          <xdr:nvSpPr>
            <xdr:cNvPr id="391513" name="Button 2393" hidden="1">
              <a:extLst>
                <a:ext uri="{63B3BB69-23CF-44E3-9099-C40C66FF867C}">
                  <a14:compatExt spid="_x0000_s391513"/>
                </a:ext>
                <a:ext uri="{FF2B5EF4-FFF2-40B4-BE49-F238E27FC236}">
                  <a16:creationId xmlns:a16="http://schemas.microsoft.com/office/drawing/2014/main" id="{00000000-0008-0000-0600-000059F905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1092200</xdr:colOff>
          <xdr:row>11</xdr:row>
          <xdr:rowOff>273050</xdr:rowOff>
        </xdr:from>
        <xdr:to>
          <xdr:col>9</xdr:col>
          <xdr:colOff>44450</xdr:colOff>
          <xdr:row>13</xdr:row>
          <xdr:rowOff>76200</xdr:rowOff>
        </xdr:to>
        <xdr:sp macro="" textlink="">
          <xdr:nvSpPr>
            <xdr:cNvPr id="391514" name="Button 2394" hidden="1">
              <a:extLst>
                <a:ext uri="{63B3BB69-23CF-44E3-9099-C40C66FF867C}">
                  <a14:compatExt spid="_x0000_s391514"/>
                </a:ext>
                <a:ext uri="{FF2B5EF4-FFF2-40B4-BE49-F238E27FC236}">
                  <a16:creationId xmlns:a16="http://schemas.microsoft.com/office/drawing/2014/main" id="{00000000-0008-0000-0600-00005AF905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25400</xdr:colOff>
          <xdr:row>4</xdr:row>
          <xdr:rowOff>368300</xdr:rowOff>
        </xdr:from>
        <xdr:to>
          <xdr:col>7</xdr:col>
          <xdr:colOff>2178050</xdr:colOff>
          <xdr:row>7</xdr:row>
          <xdr:rowOff>63500</xdr:rowOff>
        </xdr:to>
        <xdr:sp macro="" textlink="">
          <xdr:nvSpPr>
            <xdr:cNvPr id="396821" name="Button 3605" hidden="1">
              <a:extLst>
                <a:ext uri="{63B3BB69-23CF-44E3-9099-C40C66FF867C}">
                  <a14:compatExt spid="_x0000_s396821"/>
                </a:ext>
                <a:ext uri="{FF2B5EF4-FFF2-40B4-BE49-F238E27FC236}">
                  <a16:creationId xmlns:a16="http://schemas.microsoft.com/office/drawing/2014/main" id="{00000000-0008-0000-0600-0000150E06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Translate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695325</xdr:colOff>
      <xdr:row>3</xdr:row>
      <xdr:rowOff>85725</xdr:rowOff>
    </xdr:to>
    <xdr:pic>
      <xdr:nvPicPr>
        <xdr:cNvPr id="310055" name="Picture 2">
          <a:extLst>
            <a:ext uri="{FF2B5EF4-FFF2-40B4-BE49-F238E27FC236}">
              <a16:creationId xmlns:a16="http://schemas.microsoft.com/office/drawing/2014/main" id="{33265A04-388B-C3F6-6BB1-2E263A0C84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0"/>
          <a:ext cx="2295525"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695325</xdr:colOff>
      <xdr:row>3</xdr:row>
      <xdr:rowOff>85725</xdr:rowOff>
    </xdr:to>
    <xdr:pic>
      <xdr:nvPicPr>
        <xdr:cNvPr id="398573" name="Picture 2">
          <a:extLst>
            <a:ext uri="{FF2B5EF4-FFF2-40B4-BE49-F238E27FC236}">
              <a16:creationId xmlns:a16="http://schemas.microsoft.com/office/drawing/2014/main" id="{F81450CB-4866-78D6-88DF-BBC487C199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0"/>
          <a:ext cx="2295525"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323850</xdr:colOff>
      <xdr:row>0</xdr:row>
      <xdr:rowOff>0</xdr:rowOff>
    </xdr:from>
    <xdr:to>
      <xdr:col>4</xdr:col>
      <xdr:colOff>1009650</xdr:colOff>
      <xdr:row>7</xdr:row>
      <xdr:rowOff>381000</xdr:rowOff>
    </xdr:to>
    <xdr:pic>
      <xdr:nvPicPr>
        <xdr:cNvPr id="311079" name="Picture 1">
          <a:extLst>
            <a:ext uri="{FF2B5EF4-FFF2-40B4-BE49-F238E27FC236}">
              <a16:creationId xmlns:a16="http://schemas.microsoft.com/office/drawing/2014/main" id="{DCBB1541-B27F-E493-8A3A-7C1601589AF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57375" y="0"/>
          <a:ext cx="2228850" cy="2371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1419225</xdr:colOff>
      <xdr:row>4</xdr:row>
      <xdr:rowOff>0</xdr:rowOff>
    </xdr:to>
    <xdr:pic>
      <xdr:nvPicPr>
        <xdr:cNvPr id="395634" name="Picture 2">
          <a:extLst>
            <a:ext uri="{FF2B5EF4-FFF2-40B4-BE49-F238E27FC236}">
              <a16:creationId xmlns:a16="http://schemas.microsoft.com/office/drawing/2014/main" id="{F97001AA-6CBC-D1FE-8EDB-FC1CF5F24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0"/>
          <a:ext cx="2752725" cy="885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0</xdr:colOff>
      <xdr:row>0</xdr:row>
      <xdr:rowOff>0</xdr:rowOff>
    </xdr:from>
    <xdr:to>
      <xdr:col>5</xdr:col>
      <xdr:colOff>1152525</xdr:colOff>
      <xdr:row>3</xdr:row>
      <xdr:rowOff>228600</xdr:rowOff>
    </xdr:to>
    <xdr:pic>
      <xdr:nvPicPr>
        <xdr:cNvPr id="390559" name="Picture 2">
          <a:extLst>
            <a:ext uri="{FF2B5EF4-FFF2-40B4-BE49-F238E27FC236}">
              <a16:creationId xmlns:a16="http://schemas.microsoft.com/office/drawing/2014/main" id="{40934D71-CB29-0B91-62E1-0AD1D4F4DA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0"/>
          <a:ext cx="2762250" cy="971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952500</xdr:colOff>
      <xdr:row>4</xdr:row>
      <xdr:rowOff>0</xdr:rowOff>
    </xdr:to>
    <xdr:pic>
      <xdr:nvPicPr>
        <xdr:cNvPr id="401540" name="Picture 2">
          <a:extLst>
            <a:ext uri="{FF2B5EF4-FFF2-40B4-BE49-F238E27FC236}">
              <a16:creationId xmlns:a16="http://schemas.microsoft.com/office/drawing/2014/main" id="{DFEA0F63-50A2-E6CF-ED3E-C5103B0E35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0"/>
          <a:ext cx="2486025" cy="885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309.586824768521" createdVersion="8" refreshedVersion="8" recordCount="50" xr:uid="{8456DC2D-F164-4431-B3C1-B5DA215C0383}">
  <cacheSource type="worksheet">
    <worksheetSource ref="B7:H65492" sheet="HARDWARE"/>
  </cacheSource>
  <cacheFields count="7">
    <cacheField name="Picture" numFmtId="0">
      <sharedItems containsNonDate="0" containsString="0" containsBlank="1"/>
    </cacheField>
    <cacheField name="Name" numFmtId="0">
      <sharedItems containsBlank="1" count="71">
        <s v="15_18-Défaut"/>
        <s v="CLIP Top 42542984 Nickel Plated-Blum | CLIP Top | Hinge | 110 | S | CTB | S | O | +05.0 | +18.0 | 16 | 26 | 110° Hinge | Standard"/>
        <s v="CLIP_TOP_173H7100-CLIP_TOP_173H7100_KRYZMINE_+0mm"/>
        <s v="DiG_Virtuvė_Baze-Default"/>
        <s v="Dowel_8X30-DIGIUKAI"/>
        <s v="DU232T-Défaut"/>
        <s v="Konfirmatas-Konfirmatas 5 x 40"/>
        <s v="LENT_DIGIS_LENT_3_HOLES_KRIAUKLE_FAS_DiG_Virtuve_2_1-LENTYNOS_LAIKIKLIS"/>
        <s v="LENT_DIGIS_LENT_3_HOLES_PAS_FAS_LAISVA_DiG_Virtuve_1_1-LENTYNOS_LAIKIKLIS"/>
        <s v="LENT_DIGIS_LENT_3_HOLES_PAS_FAS_LAISVA_DiG_Virtuve_2_1-LENTYNOS_LAIKIKLIS"/>
        <s v="Longside Gallery Rail Connector Cover-Défaut"/>
        <s v="Longside Gallery Rail Wood Connector-Défaut"/>
        <s v="MEDSRAIGTIS 3x16_100mm KOJOS_KRIAUKLE_FAS_DiG_Virtuve_2_1-MEDSRAIGTIS 3x16"/>
        <s v="MEDSRAIGTIS 3x16_100mm KOJOS_ORKAITE_TBOX_DiG_Virtuve_1_1-MEDSRAIGTIS 3x16"/>
        <s v="MEDSRAIGTIS 3x16_100mm KOJOS_PAS_FAS_LAISVA_DiG_Virtuve_1_1-MEDSRAIGTIS 3x16"/>
        <s v="MEDSRAIGTIS 3x16_100mm KOJOS_PAS_FAS_LAISVA_DiG_Virtuve_2_1-MEDSRAIGTIS 3x16"/>
        <s v="MEDSRAIGTIS 3x16_100mm KOJOS_PAS_KAIT_4xT_BOX_DiG_Virtuve_1_1-MEDSRAIGTIS 3x16"/>
        <s v="MEDSRAIGTIS 3x16_100mm KOJOS-MEDSRAIGTIS 3x16"/>
        <s v="MEDSRAIGTIS_3x16-MEDSRAIGTIS 3x16"/>
        <s v="Reg. Koj_100mm KOJOS_KRIAUKLE_FAS_DiG_Virtuve_2_1-100mm KOJELE"/>
        <s v="Reg. Koj_100mm KOJOS_ORKAITE_TBOX_DiG_Virtuve_1_1-100mm KOJELE"/>
        <s v="Reg. Koj_100mm KOJOS_PAS_FAS_LAISVA_DiG_Virtuve_1_1-100mm KOJELE"/>
        <s v="Reg. Koj_100mm KOJOS_PAS_FAS_LAISVA_DiG_Virtuve_2_1-100mm KOJELE"/>
        <s v="Reg. Koj_100mm KOJOS_PAS_KAIT_4xT_BOX_DiG_Virtuve_1_1-100mm KOJELE"/>
        <s v="Reg. Koj_2X KOJELES_CARGO_DiG_Virtuve_1_1-kojele"/>
        <s v="TANDEMBOX Back Connector 098 Short Matt Silk White_L-Blum | TANDEMBOX | Back Adapter_L | 098 | Short"/>
        <s v="TANDEMBOX Back Connector 098 Short Matt Silk White-Blum | TANDEMBOX | Back Adapter | 098 | Short"/>
        <s v="TANDEMBOX Back Connector 130 Short Matt Silk White_L-Blum | TANDEMBOX | Back Adapter_L | 130 | Short"/>
        <s v="TANDEMBOX Back Connector 130 Short Matt Silk White-Blum | TANDEMBOX | Back Adapter | 130 | Short"/>
        <s v="TANDEMBOX Back Connector 192 Short Matt Silk White_L-Blum | TANDEMBOX | Back Adapter_L | 192 | Short"/>
        <s v="TANDEMBOX Back Connector 192 Short Matt Silk White-Blum | TANDEMBOX | Back Adapter | 192 | Short"/>
        <s v="TANDEMBOX Back Connector 224 Short Matt Silk White_L-Blum | TANDEMBOX | Back Adapter_L | 224 | Short"/>
        <s v="TANDEMBOX Design Element 192 Glass 500_TANDEMBOX_PAS_KAIT_4xT_BOX_DiG_Virtuve_1_3-Blum | TANDEMBOX | Side Insert | 192 | 500 | Glass"/>
        <s v="TANDEMBOX Design Element 192 Matt Silk White 500_TANDEMBOX_PAS_KAIT_4xT_BOX_DiG_Virtuve_1_2-Blum | TANDEMBOX | Side Insert | 192 | 500 | Matt Silk White"/>
        <s v="TANDEMBOX Front Connector Hit In-Blum | TANDEMBOX | Front Connector | Hit In"/>
        <s v="TANDEMBOX Locking Set Piece 192  Matt Silk White_L-Blum | TANDEMBOX | Glass Side Connector | 192"/>
        <s v="TANDEMBOX Locking Set Piece 192  Matt Silk White-Blum | TANDEMBOX | Glass Side Connector | 192"/>
        <s v="TANDEMBOX Runner 450 30 Kg B_L-Blum | TANDEMBOX | Runner_L | 450 | 30 Kg | B | E"/>
        <s v="TANDEMBOX Runner 450 30 Kg B-Blum | TANDEMBOX | Runner | 450 | 30 Kg | B | E"/>
        <s v="TANDEMBOX Runner 500 30 Kg B_L-Blum | TANDEMBOX | Runner_L | 500 | 30 Kg | B | E"/>
        <s v="TANDEMBOX Runner 500 30 Kg B-Blum | TANDEMBOX | Runner | 500 | 30 Kg | B | E"/>
        <s v="TANDEMBOX Side 450 130 Matt Silk White_L-Blum | TANDEMBOX | Side_L | 450 | 130"/>
        <s v="TANDEMBOX Side 450 130 Matt Silk White-Blum | TANDEMBOX | Side | 450 | 130"/>
        <s v="TANDEMBOX Side 500 98 Matt Silk White_L-Blum | TANDEMBOX | Side_L | 500 | 98"/>
        <s v="TANDEMBOX Side 500 98 Matt Silk White-Blum | TANDEMBOX | Side | 500 | 98"/>
        <s v="TANDEMBOX Side Longitudinal Tube 43 500 Matt Silk White_L-Blum | TANDEMBOX | Side Longitudinal Tube | 500"/>
        <s v="TANDEMBOX Side Longitudinal Tube 43 500 Matt Silk White-Blum | TANDEMBOX | Side Longitudinal Tube | 500"/>
        <s v="WoodScrew D3.5x15-Défaut"/>
        <s v="WoodScrew D3.5x17-Défaut"/>
        <m/>
        <s v="TANDEMBOX Back Connector 224 Short Matt Silk White-Blum | TANDEMBOX | Back Adapter | 224 | Short" u="1"/>
        <s v="TANDEMBOX Locking Set Piece 224  Matt Silk White-Blum | TANDEMBOX | Glass Side Connector | 224" u="1"/>
        <s v="TANDEMBOX Side 500 130 Matt Silk White-Blum | TANDEMBOX | Side | 500 | 130" u="1"/>
        <s v="CLIP Top 44039066 Nickel Plated-Blum | CLIP Top | Hinge | 95 | S | CTB | S | F | -05.0 | -01.0 | 16 | 32 | Blind corner Hinge Inset Application | Blind Corner" u="1"/>
        <s v="CLIP Top 46117569 Nickel Plated-Blum | CLIP Top | Hinge | 110 | S | CT_ | U | O | +05.0 | +18.0 | 16 | 26 | 110° Hinge | Standard" u="1"/>
        <s v="MODUL_91K9550-SALD_91K9550" u="1"/>
        <s v="CLIP_TOP_173H7130-CLIP_TOP_173H7130_KRIZMINE_+3mm" u="1"/>
        <s v="MODULE_194K6100E-MODULE_194K6100E_SALDYTUVO" u="1"/>
        <s v="MEDSRAIGTIS 3x16_100mm KOJOS_PAS_JUOSTOS_3xT_BOX_GIEDRIUS S_VIRTUVE_1_1-MEDSRAIGTIS 3x16" u="1"/>
        <s v="Reg. Koj_100mm KOJOS_PAS_JUOSTOS_3xT_BOX_GIEDRIUS S_VIRTUVE_1_1-100mm KOJELE" u="1"/>
        <s v="TANDEMBOX Design Element 224 Matt Silk White 500_TANDEMBOX_PAS_JUOSTOS_3xT_BOX_GIEDRIUS S_VIRTUVE_1_1-Blum | TANDEMBOX | Side Insert | 224 | 500 | Matt Silk White" u="1"/>
        <s v="TANDEMBOX Design Element 224 Matt Silk White 500_TANDEMBOX_PAS_JUOSTOS_3xT_BOX_GIEDRIUS S_VIRTUVE_1_2-Blum | TANDEMBOX | Side Insert | 224 | 500 | Matt Silk White" u="1"/>
        <s v="MEDSRAIGTIS 3x16_100mm KOJOS_PAS_JUOSTOS_3xT_BOX_GIEDRIUS S_VIRTUVE_3_1-MEDSRAIGTIS 3x16" u="1"/>
        <s v="Reg. Koj_100mm KOJOS_PAS_JUOSTOS_3xT_BOX_GIEDRIUS S_VIRTUVE_3_1-100mm KOJELE" u="1"/>
        <s v="TANDEMBOX Design Element 224 Matt Silk White 500_TANDEMBOX_PAS_JUOSTOS_3xT_BOX_GIEDRIUS S_VIRTUVE_3_1-Blum | TANDEMBOX | Side Insert | 224 | 500 | Matt Silk White" u="1"/>
        <s v="TANDEMBOX Design Element 224 Matt Silk White 500_TANDEMBOX_PAS_JUOSTOS_3xT_BOX_GIEDRIUS S_VIRTUVE_3_2-Blum | TANDEMBOX | Side Insert | 224 | 500 | Matt Silk White" u="1"/>
        <s v="LENT_DIGIS_LENT_3_HOLES_PAS_KAMPINE_LH_NUG_GIEDRIUS S_VIRTUVE_1_1-LENTYNOS_LAIKIKLIS" u="1"/>
        <s v="MEDSRAIGTIS 3x16_100mm KOJOS_PAS_KAMPINE_LH_NUG_GIEDRIUS S_VIRTUVE_1_1-MEDSRAIGTIS 3x16" u="1"/>
        <s v="Reg. Koj_100mm KOJOS_PAS_KAMPINE_LH_NUG_GIEDRIUS S_VIRTUVE_1_1-100mm KOJELE" u="1"/>
        <s v="MEDSRAIGTIS 3x16_100mm KOJOS_UKINE_SALD_UKINE_SALD_2FAS_GIEDRIUS S_VIRTUVE_1_1-MEDSRAIGTIS 3x16" u="1"/>
        <s v="Reg. Koj_100mm KOJOS_UKINE_SALD_UKINE_SALD_2FAS_GIEDRIUS S_VIRTUVE_1_1-100mm KOJELE" u="1"/>
      </sharedItems>
    </cacheField>
    <cacheField name="Supplier" numFmtId="0">
      <sharedItems containsBlank="1" count="4">
        <s v="Hettich"/>
        <s v="Blum"/>
        <m/>
        <s v="Senukai"/>
      </sharedItems>
    </cacheField>
    <cacheField name="Supplier Ref" numFmtId="0">
      <sharedItems containsBlank="1" containsMixedTypes="1" containsNumber="1" minValue="609.15" maxValue="9047861" count="27">
        <n v="13962"/>
        <s v="71B3550"/>
        <m/>
        <n v="9047861"/>
        <s v="Z30M000S.04_L"/>
        <s v="Z30M000S.04"/>
        <s v="Z30K000S_L"/>
        <s v="Z30K000S"/>
        <s v="Z30C000S_L"/>
        <s v="Z30C000S"/>
        <s v="Z30D000S_L"/>
        <s v="Z37R467C"/>
        <s v="Z37A467C"/>
        <s v="ZSF.36A2"/>
        <s v="Z36C0080"/>
        <s v="578.4501B_L"/>
        <s v="578.4501B"/>
        <s v="578.5001B_L"/>
        <s v="578.5001B"/>
        <s v="378K4502SA_L"/>
        <s v="378K4502SA"/>
        <s v="378M5002SA_L"/>
        <s v="378M5002SA"/>
        <s v="ZRG.437RSIC_L"/>
        <s v="ZRG.437RSIC"/>
        <n v="609.15"/>
        <n v="609.16999999999996"/>
      </sharedItems>
    </cacheField>
    <cacheField name="Qty" numFmtId="0">
      <sharedItems containsString="0" containsBlank="1" containsNumber="1" containsInteger="1" minValue="1" maxValue="137"/>
    </cacheField>
    <cacheField name="Unit Cost" numFmtId="0">
      <sharedItems containsString="0" containsBlank="1" containsNumber="1" minValue="0" maxValue="0.03" count="3">
        <n v="0"/>
        <n v="0.03"/>
        <m/>
      </sharedItems>
    </cacheField>
    <cacheField name="Total Cost"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309.586824768521" createdVersion="8" refreshedVersion="8" recordCount="316" xr:uid="{72260F60-6498-4FD9-A113-F33074069866}">
  <cacheSource type="worksheet">
    <worksheetSource ref="B3:N65221" sheet="EDGEBAND"/>
  </cacheSource>
  <cacheFields count="13">
    <cacheField name="Picture" numFmtId="0">
      <sharedItems containsNonDate="0" containsString="0" containsBlank="1"/>
    </cacheField>
    <cacheField name="Part" numFmtId="0">
      <sharedItems containsBlank="1"/>
    </cacheField>
    <cacheField name="Num Pan" numFmtId="0">
      <sharedItems containsNonDate="0" containsString="0" containsBlank="1"/>
    </cacheField>
    <cacheField name="Feature" numFmtId="0">
      <sharedItems containsBlank="1"/>
    </cacheField>
    <cacheField name="Material" numFmtId="0">
      <sharedItems containsBlank="1" count="5">
        <s v="Briauna 1mm"/>
        <s v="Briauna 0.6"/>
        <m/>
        <s v="PAGAL FASADA" u="1"/>
        <s v="Briauna 0.6 STALCIAMS" u="1"/>
      </sharedItems>
    </cacheField>
    <cacheField name="Supplier" numFmtId="0">
      <sharedItems containsNonDate="0" containsString="0" containsBlank="1" count="1">
        <m/>
      </sharedItems>
    </cacheField>
    <cacheField name="Reference" numFmtId="0">
      <sharedItems containsNonDate="0" containsString="0" containsBlank="1" count="1">
        <m/>
      </sharedItems>
    </cacheField>
    <cacheField name="Length" numFmtId="0">
      <sharedItems containsString="0" containsBlank="1" containsNumber="1" minValue="90" maxValue="3190"/>
    </cacheField>
    <cacheField name="Thickness" numFmtId="0">
      <sharedItems containsString="0" containsBlank="1" containsNumber="1" minValue="0.6" maxValue="1"/>
    </cacheField>
    <cacheField name="Qty" numFmtId="0">
      <sharedItems containsString="0" containsBlank="1" containsNumber="1" containsInteger="1" minValue="1" maxValue="2"/>
    </cacheField>
    <cacheField name="m" numFmtId="0">
      <sharedItems containsString="0" containsBlank="1" containsNumber="1" minValue="0.09" maxValue="3.19"/>
    </cacheField>
    <cacheField name="Unit Cost" numFmtId="0">
      <sharedItems containsString="0" containsBlank="1" containsNumber="1" minValue="1.3" maxValue="1.5" count="3">
        <n v="1.5"/>
        <n v="1.3"/>
        <m/>
      </sharedItems>
    </cacheField>
    <cacheField name="Total Cost" numFmtId="0">
      <sharedItems containsString="0" containsBlank="1" containsNumber="1" minValue="0.13500000000000001" maxValue="4.785000000000000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309.586824768521" createdVersion="8" refreshedVersion="8" recordCount="138" xr:uid="{5E0796DD-383C-4E22-AF2B-340EC988F434}">
  <cacheSource type="worksheet">
    <worksheetSource ref="B3:T65399" sheet="STOCK_CORE"/>
  </cacheSource>
  <cacheFields count="19">
    <cacheField name="Picture" numFmtId="0">
      <sharedItems containsNonDate="0" containsString="0" containsBlank="1"/>
    </cacheField>
    <cacheField name="Part" numFmtId="0">
      <sharedItems containsBlank="1"/>
    </cacheField>
    <cacheField name="Num Pan" numFmtId="0">
      <sharedItems containsNonDate="0" containsString="0" containsBlank="1"/>
    </cacheField>
    <cacheField name="Feature" numFmtId="0">
      <sharedItems containsBlank="1"/>
    </cacheField>
    <cacheField name="Material" numFmtId="0">
      <sharedItems containsBlank="1" count="13">
        <s v="Stalviršis 38mm"/>
        <s v="KARKASAI 18mm"/>
        <s v="NEPJAUTI BUITINE"/>
        <s v="S032 18mm"/>
        <s v="S128 Pembroke"/>
        <s v="16MM PLOKŠTĖ"/>
        <s v="GENERIC 16"/>
        <s v="(be medziagos)"/>
        <s v="Plaušas 3mm"/>
        <m/>
        <s v="Cleaf, corteccia S173" u="1"/>
        <s v="U16003 VV" u="1"/>
        <s v="5641 ESS" u="1"/>
      </sharedItems>
    </cacheField>
    <cacheField name="Supplier" numFmtId="0">
      <sharedItems containsNonDate="0" containsBlank="1" count="2">
        <m/>
        <s v="EFICAD" u="1"/>
      </sharedItems>
    </cacheField>
    <cacheField name="Reference" numFmtId="0">
      <sharedItems containsBlank="1" count="3">
        <m/>
        <s v="GENERIC 18 G"/>
        <s v="GENERIC 16"/>
      </sharedItems>
    </cacheField>
    <cacheField name="Length" numFmtId="0">
      <sharedItems containsString="0" containsBlank="1" containsNumber="1" minValue="90" maxValue="3190"/>
    </cacheField>
    <cacheField name="Width" numFmtId="0">
      <sharedItems containsString="0" containsBlank="1" containsNumber="1" minValue="50" maxValue="3187"/>
    </cacheField>
    <cacheField name="Thickness" numFmtId="0">
      <sharedItems containsString="0" containsBlank="1" containsNumber="1" containsInteger="1" minValue="3" maxValue="38"/>
    </cacheField>
    <cacheField name="Qty" numFmtId="0">
      <sharedItems containsString="0" containsBlank="1" containsNumber="1" containsInteger="1" minValue="1" maxValue="2"/>
    </cacheField>
    <cacheField name="ml" numFmtId="0">
      <sharedItems containsString="0" containsBlank="1" containsNumber="1" minValue="0.09" maxValue="3.19"/>
    </cacheField>
    <cacheField name="m²" numFmtId="0">
      <sharedItems containsString="0" containsBlank="1" containsNumber="1" minValue="2.3268E-2" maxValue="1.9139999999999999"/>
    </cacheField>
    <cacheField name="m3" numFmtId="0">
      <sharedItems containsString="0" containsBlank="1" containsNumber="1" minValue="3.7228800000000002E-4" maxValue="7.2732000000000005E-2"/>
    </cacheField>
    <cacheField name="Tot Unit" numFmtId="0">
      <sharedItems containsString="0" containsBlank="1" containsNumber="1" minValue="2.3268E-2" maxValue="1.9139999999999999"/>
    </cacheField>
    <cacheField name="Unit Cost" numFmtId="0">
      <sharedItems containsNonDate="0" containsString="0" containsBlank="1" containsNumber="1" containsInteger="1" minValue="0" maxValue="20" count="4">
        <m/>
        <n v="20" u="1"/>
        <n v="7" u="1"/>
        <n v="0" u="1"/>
      </sharedItems>
    </cacheField>
    <cacheField name="Cost Type" numFmtId="0">
      <sharedItems containsString="0" containsBlank="1" containsNumber="1" containsInteger="1" minValue="1" maxValue="1"/>
    </cacheField>
    <cacheField name="Unit" numFmtId="0">
      <sharedItems containsBlank="1" count="2">
        <s v="m²"/>
        <m/>
      </sharedItems>
    </cacheField>
    <cacheField name="Total Cost"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309.586824768521" createdVersion="8" refreshedVersion="8" recordCount="11" xr:uid="{C32D9A1F-437A-49A1-85EB-C88DE5886444}">
  <cacheSource type="worksheet">
    <worksheetSource ref="B3:T65000" sheet="Tp_FINISH"/>
  </cacheSource>
  <cacheFields count="19">
    <cacheField name="Picture" numFmtId="0">
      <sharedItems containsNonDate="0" containsString="0" containsBlank="1"/>
    </cacheField>
    <cacheField name="Part" numFmtId="0">
      <sharedItems containsNonDate="0" containsString="0" containsBlank="1"/>
    </cacheField>
    <cacheField name="Num Pan" numFmtId="0">
      <sharedItems containsNonDate="0" containsString="0" containsBlank="1"/>
    </cacheField>
    <cacheField name="Feature" numFmtId="0">
      <sharedItems containsNonDate="0" containsString="0" containsBlank="1"/>
    </cacheField>
    <cacheField name="Material" numFmtId="0">
      <sharedItems containsNonDate="0" containsString="0" containsBlank="1" count="1">
        <m/>
      </sharedItems>
    </cacheField>
    <cacheField name="Supplier" numFmtId="0">
      <sharedItems containsNonDate="0" containsString="0" containsBlank="1" count="1">
        <m/>
      </sharedItems>
    </cacheField>
    <cacheField name="Reference" numFmtId="0">
      <sharedItems containsNonDate="0" containsString="0" containsBlank="1" count="1">
        <m/>
      </sharedItems>
    </cacheField>
    <cacheField name="Length" numFmtId="0">
      <sharedItems containsNonDate="0" containsString="0" containsBlank="1"/>
    </cacheField>
    <cacheField name="Width" numFmtId="0">
      <sharedItems containsNonDate="0" containsString="0" containsBlank="1"/>
    </cacheField>
    <cacheField name="Thickness" numFmtId="0">
      <sharedItems containsNonDate="0" containsString="0" containsBlank="1"/>
    </cacheField>
    <cacheField name="Qty" numFmtId="0">
      <sharedItems containsNonDate="0" containsString="0" containsBlank="1"/>
    </cacheField>
    <cacheField name="ml" numFmtId="0">
      <sharedItems containsString="0" containsBlank="1" containsNumber="1" containsInteger="1" minValue="0" maxValue="0"/>
    </cacheField>
    <cacheField name="m²" numFmtId="0">
      <sharedItems containsString="0" containsBlank="1" containsNumber="1" containsInteger="1" minValue="0" maxValue="0"/>
    </cacheField>
    <cacheField name="m3" numFmtId="0">
      <sharedItems containsString="0" containsBlank="1" containsNumber="1" containsInteger="1" minValue="0" maxValue="0"/>
    </cacheField>
    <cacheField name="Tot Unit" numFmtId="0">
      <sharedItems containsString="0" containsBlank="1" containsNumber="1" containsInteger="1" minValue="0" maxValue="0"/>
    </cacheField>
    <cacheField name="Unit Cost" numFmtId="0">
      <sharedItems containsNonDate="0" containsString="0" containsBlank="1" count="1">
        <m/>
      </sharedItems>
    </cacheField>
    <cacheField name="Cost Type" numFmtId="0">
      <sharedItems containsNonDate="0" containsString="0" containsBlank="1"/>
    </cacheField>
    <cacheField name="Unit" numFmtId="0">
      <sharedItems containsBlank="1" count="2">
        <s v=""/>
        <m/>
      </sharedItems>
    </cacheField>
    <cacheField name="Total Cost"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m/>
    <x v="0"/>
    <x v="0"/>
    <x v="0"/>
    <n v="12"/>
    <x v="0"/>
    <s v="F"/>
  </r>
  <r>
    <m/>
    <x v="1"/>
    <x v="1"/>
    <x v="1"/>
    <n v="16"/>
    <x v="0"/>
    <s v="F"/>
  </r>
  <r>
    <m/>
    <x v="2"/>
    <x v="2"/>
    <x v="2"/>
    <n v="16"/>
    <x v="0"/>
    <s v="F"/>
  </r>
  <r>
    <m/>
    <x v="3"/>
    <x v="2"/>
    <x v="2"/>
    <n v="1"/>
    <x v="0"/>
    <s v="F"/>
  </r>
  <r>
    <m/>
    <x v="4"/>
    <x v="3"/>
    <x v="2"/>
    <n v="12"/>
    <x v="1"/>
    <s v="F"/>
  </r>
  <r>
    <m/>
    <x v="5"/>
    <x v="0"/>
    <x v="3"/>
    <n v="12"/>
    <x v="0"/>
    <s v="F"/>
  </r>
  <r>
    <m/>
    <x v="6"/>
    <x v="2"/>
    <x v="2"/>
    <n v="137"/>
    <x v="0"/>
    <s v="F"/>
  </r>
  <r>
    <m/>
    <x v="7"/>
    <x v="2"/>
    <x v="2"/>
    <n v="4"/>
    <x v="0"/>
    <s v="F"/>
  </r>
  <r>
    <m/>
    <x v="8"/>
    <x v="2"/>
    <x v="2"/>
    <n v="4"/>
    <x v="0"/>
    <s v="F"/>
  </r>
  <r>
    <m/>
    <x v="9"/>
    <x v="2"/>
    <x v="2"/>
    <n v="4"/>
    <x v="0"/>
    <s v="F"/>
  </r>
  <r>
    <m/>
    <x v="10"/>
    <x v="2"/>
    <x v="2"/>
    <n v="4"/>
    <x v="0"/>
    <s v="F"/>
  </r>
  <r>
    <m/>
    <x v="11"/>
    <x v="2"/>
    <x v="2"/>
    <n v="4"/>
    <x v="0"/>
    <s v="F"/>
  </r>
  <r>
    <m/>
    <x v="12"/>
    <x v="2"/>
    <x v="2"/>
    <n v="16"/>
    <x v="0"/>
    <s v="F"/>
  </r>
  <r>
    <m/>
    <x v="13"/>
    <x v="2"/>
    <x v="2"/>
    <n v="16"/>
    <x v="0"/>
    <s v="F"/>
  </r>
  <r>
    <m/>
    <x v="14"/>
    <x v="2"/>
    <x v="2"/>
    <n v="16"/>
    <x v="0"/>
    <s v="F"/>
  </r>
  <r>
    <m/>
    <x v="15"/>
    <x v="2"/>
    <x v="2"/>
    <n v="16"/>
    <x v="0"/>
    <s v="F"/>
  </r>
  <r>
    <m/>
    <x v="16"/>
    <x v="2"/>
    <x v="2"/>
    <n v="16"/>
    <x v="0"/>
    <s v="F"/>
  </r>
  <r>
    <m/>
    <x v="17"/>
    <x v="2"/>
    <x v="2"/>
    <n v="8"/>
    <x v="0"/>
    <s v="F"/>
  </r>
  <r>
    <m/>
    <x v="18"/>
    <x v="2"/>
    <x v="2"/>
    <n v="64"/>
    <x v="0"/>
    <s v="F"/>
  </r>
  <r>
    <m/>
    <x v="19"/>
    <x v="2"/>
    <x v="2"/>
    <n v="4"/>
    <x v="0"/>
    <s v="F"/>
  </r>
  <r>
    <m/>
    <x v="20"/>
    <x v="2"/>
    <x v="2"/>
    <n v="4"/>
    <x v="0"/>
    <s v="F"/>
  </r>
  <r>
    <m/>
    <x v="21"/>
    <x v="2"/>
    <x v="2"/>
    <n v="4"/>
    <x v="0"/>
    <s v="F"/>
  </r>
  <r>
    <m/>
    <x v="22"/>
    <x v="2"/>
    <x v="2"/>
    <n v="4"/>
    <x v="0"/>
    <s v="F"/>
  </r>
  <r>
    <m/>
    <x v="23"/>
    <x v="2"/>
    <x v="2"/>
    <n v="4"/>
    <x v="0"/>
    <s v="F"/>
  </r>
  <r>
    <m/>
    <x v="24"/>
    <x v="2"/>
    <x v="2"/>
    <n v="2"/>
    <x v="0"/>
    <s v="F"/>
  </r>
  <r>
    <m/>
    <x v="25"/>
    <x v="1"/>
    <x v="4"/>
    <n v="1"/>
    <x v="0"/>
    <s v="F"/>
  </r>
  <r>
    <m/>
    <x v="26"/>
    <x v="1"/>
    <x v="5"/>
    <n v="2"/>
    <x v="0"/>
    <s v="F"/>
  </r>
  <r>
    <m/>
    <x v="27"/>
    <x v="1"/>
    <x v="6"/>
    <n v="1"/>
    <x v="0"/>
    <s v="F"/>
  </r>
  <r>
    <m/>
    <x v="28"/>
    <x v="1"/>
    <x v="7"/>
    <n v="1"/>
    <x v="0"/>
    <s v="F"/>
  </r>
  <r>
    <m/>
    <x v="29"/>
    <x v="1"/>
    <x v="8"/>
    <n v="2"/>
    <x v="0"/>
    <s v="F"/>
  </r>
  <r>
    <m/>
    <x v="30"/>
    <x v="1"/>
    <x v="9"/>
    <n v="2"/>
    <x v="0"/>
    <s v="F"/>
  </r>
  <r>
    <m/>
    <x v="31"/>
    <x v="1"/>
    <x v="10"/>
    <n v="1"/>
    <x v="0"/>
    <s v="F"/>
  </r>
  <r>
    <m/>
    <x v="32"/>
    <x v="1"/>
    <x v="11"/>
    <n v="2"/>
    <x v="0"/>
    <s v="F"/>
  </r>
  <r>
    <m/>
    <x v="33"/>
    <x v="1"/>
    <x v="12"/>
    <n v="2"/>
    <x v="0"/>
    <s v="F"/>
  </r>
  <r>
    <m/>
    <x v="34"/>
    <x v="1"/>
    <x v="13"/>
    <n v="10"/>
    <x v="0"/>
    <s v="F"/>
  </r>
  <r>
    <m/>
    <x v="35"/>
    <x v="1"/>
    <x v="14"/>
    <n v="2"/>
    <x v="0"/>
    <s v="F"/>
  </r>
  <r>
    <m/>
    <x v="36"/>
    <x v="1"/>
    <x v="14"/>
    <n v="2"/>
    <x v="0"/>
    <s v="F"/>
  </r>
  <r>
    <m/>
    <x v="37"/>
    <x v="1"/>
    <x v="15"/>
    <n v="1"/>
    <x v="0"/>
    <s v="F"/>
  </r>
  <r>
    <m/>
    <x v="38"/>
    <x v="1"/>
    <x v="16"/>
    <n v="1"/>
    <x v="0"/>
    <s v="F"/>
  </r>
  <r>
    <m/>
    <x v="39"/>
    <x v="1"/>
    <x v="17"/>
    <n v="4"/>
    <x v="0"/>
    <s v="F"/>
  </r>
  <r>
    <m/>
    <x v="40"/>
    <x v="1"/>
    <x v="18"/>
    <n v="4"/>
    <x v="0"/>
    <s v="F"/>
  </r>
  <r>
    <m/>
    <x v="41"/>
    <x v="1"/>
    <x v="19"/>
    <n v="1"/>
    <x v="0"/>
    <s v="F"/>
  </r>
  <r>
    <m/>
    <x v="42"/>
    <x v="1"/>
    <x v="20"/>
    <n v="1"/>
    <x v="0"/>
    <s v="F"/>
  </r>
  <r>
    <m/>
    <x v="43"/>
    <x v="1"/>
    <x v="21"/>
    <n v="4"/>
    <x v="0"/>
    <s v="F"/>
  </r>
  <r>
    <m/>
    <x v="44"/>
    <x v="1"/>
    <x v="22"/>
    <n v="4"/>
    <x v="0"/>
    <s v="F"/>
  </r>
  <r>
    <m/>
    <x v="45"/>
    <x v="1"/>
    <x v="23"/>
    <n v="2"/>
    <x v="0"/>
    <s v="F"/>
  </r>
  <r>
    <m/>
    <x v="46"/>
    <x v="1"/>
    <x v="24"/>
    <n v="2"/>
    <x v="0"/>
    <s v="F"/>
  </r>
  <r>
    <m/>
    <x v="47"/>
    <x v="1"/>
    <x v="25"/>
    <n v="78"/>
    <x v="0"/>
    <s v="F"/>
  </r>
  <r>
    <m/>
    <x v="48"/>
    <x v="1"/>
    <x v="26"/>
    <n v="40"/>
    <x v="0"/>
    <s v="F"/>
  </r>
  <r>
    <m/>
    <x v="49"/>
    <x v="2"/>
    <x v="2"/>
    <m/>
    <x v="2"/>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6">
  <r>
    <m/>
    <s v="STALVIRSIS_DiG_Virtuve"/>
    <m/>
    <s v="Edgeband1"/>
    <x v="0"/>
    <x v="0"/>
    <x v="0"/>
    <n v="3190"/>
    <n v="1"/>
    <n v="1"/>
    <n v="3.19"/>
    <x v="0"/>
    <n v="4.7850000000000001"/>
  </r>
  <r>
    <m/>
    <s v="STALVIRSIS_DiG_Virtuve"/>
    <m/>
    <s v="Edgeband3"/>
    <x v="0"/>
    <x v="0"/>
    <x v="0"/>
    <n v="3190"/>
    <n v="1"/>
    <n v="1"/>
    <n v="3.19"/>
    <x v="0"/>
    <n v="4.7850000000000001"/>
  </r>
  <r>
    <m/>
    <s v="STALVIRSIS_DiG_Virtuve"/>
    <m/>
    <s v="Edgeband2"/>
    <x v="0"/>
    <x v="0"/>
    <x v="0"/>
    <n v="600"/>
    <n v="1"/>
    <n v="1"/>
    <n v="0.6"/>
    <x v="0"/>
    <n v="0.89999999999999991"/>
  </r>
  <r>
    <m/>
    <s v="STALVIRSIS_DiG_Virtuve"/>
    <m/>
    <s v="Edgeband4"/>
    <x v="0"/>
    <x v="0"/>
    <x v="0"/>
    <n v="600"/>
    <n v="1"/>
    <n v="1"/>
    <n v="0.6"/>
    <x v="0"/>
    <n v="0.89999999999999991"/>
  </r>
  <r>
    <m/>
    <s v="DUGNAS_PAK_PL_HOOD_2xLENT_DiG_Virtuve_1"/>
    <m/>
    <s v="Edgeband1"/>
    <x v="1"/>
    <x v="0"/>
    <x v="0"/>
    <n v="1022"/>
    <n v="0.6"/>
    <n v="1"/>
    <n v="1.022"/>
    <x v="1"/>
    <n v="1.3286"/>
  </r>
  <r>
    <m/>
    <s v="STOGAS_PAK_PL_HOOD_2xLENT_DiG_Virtuve_1"/>
    <m/>
    <s v="Edgeband1"/>
    <x v="1"/>
    <x v="0"/>
    <x v="0"/>
    <n v="1022"/>
    <n v="0.6"/>
    <n v="1"/>
    <n v="1.022"/>
    <x v="1"/>
    <n v="1.3286"/>
  </r>
  <r>
    <m/>
    <s v="GARTRAUKIO_UZDENGIMAS_VIRSUS_PAK_PL_HOOD_2xLENT_DiG_Virtuve_1"/>
    <m/>
    <s v="Edgeband1"/>
    <x v="1"/>
    <x v="0"/>
    <x v="0"/>
    <n v="1022"/>
    <n v="0.6"/>
    <n v="1"/>
    <n v="1.022"/>
    <x v="1"/>
    <n v="1.3286"/>
  </r>
  <r>
    <m/>
    <s v="GARTRAUKIO_UZDENGIMAS_VIRSUS_PAK_PL_HOOD_2xLENT_DiG_Virtuve_1"/>
    <m/>
    <s v="Edgeband2"/>
    <x v="1"/>
    <x v="0"/>
    <x v="0"/>
    <n v="395"/>
    <n v="0.6"/>
    <n v="1"/>
    <n v="0.39500000000000002"/>
    <x v="1"/>
    <n v="0.51350000000000007"/>
  </r>
  <r>
    <m/>
    <s v="GARTRAUKIO_UZDENGIMAS_VIRSUS_PAK_PL_HOOD_2xLENT_DiG_Virtuve_1"/>
    <m/>
    <s v="Edgeband3"/>
    <x v="1"/>
    <x v="0"/>
    <x v="0"/>
    <n v="395"/>
    <n v="0.6"/>
    <n v="1"/>
    <n v="0.39500000000000002"/>
    <x v="1"/>
    <n v="0.51350000000000007"/>
  </r>
  <r>
    <m/>
    <s v="LENT_LENT_3_HOLES_PAK_PL_HOOD_2xLENT_DiG_Virtuve_1_3"/>
    <m/>
    <s v="Edgeband1"/>
    <x v="1"/>
    <x v="0"/>
    <x v="0"/>
    <n v="1022"/>
    <n v="0.6"/>
    <n v="1"/>
    <n v="1.022"/>
    <x v="1"/>
    <n v="1.3286"/>
  </r>
  <r>
    <m/>
    <s v="STOGAS_PAK_PLAUSAS_2xFAS_2xLENT_DiG_Virtuve_1"/>
    <m/>
    <s v="Edgeband1"/>
    <x v="1"/>
    <x v="0"/>
    <x v="0"/>
    <n v="964"/>
    <n v="0.6"/>
    <n v="1"/>
    <n v="0.96399999999999997"/>
    <x v="1"/>
    <n v="1.2532000000000001"/>
  </r>
  <r>
    <m/>
    <s v="DUGNAS_PAK_PLAUSAS_2xFAS_2xLENT_DiG_Virtuve_1"/>
    <m/>
    <s v="Edgeband1"/>
    <x v="1"/>
    <x v="0"/>
    <x v="0"/>
    <n v="964"/>
    <n v="0.6"/>
    <n v="1"/>
    <n v="0.96399999999999997"/>
    <x v="1"/>
    <n v="1.2532000000000001"/>
  </r>
  <r>
    <m/>
    <s v="STOGAS_PAK_PLAUSAS_2xFAS_2xLENT_DiG_Virtuve_2"/>
    <m/>
    <s v="Edgeband1"/>
    <x v="1"/>
    <x v="0"/>
    <x v="0"/>
    <n v="964"/>
    <n v="0.6"/>
    <n v="1"/>
    <n v="0.96399999999999997"/>
    <x v="1"/>
    <n v="1.2532000000000001"/>
  </r>
  <r>
    <m/>
    <s v="DUGNAS_PAK_PLAUSAS_2xFAS_2xLENT_DiG_Virtuve_2"/>
    <m/>
    <s v="Edgeband1"/>
    <x v="1"/>
    <x v="0"/>
    <x v="0"/>
    <n v="964"/>
    <n v="0.6"/>
    <n v="1"/>
    <n v="0.96399999999999997"/>
    <x v="1"/>
    <n v="1.2532000000000001"/>
  </r>
  <r>
    <m/>
    <s v="KAIRE_PAK_PL_HOOD_2xLENT_DiG_Virtuve_1"/>
    <m/>
    <s v="Edgeband2"/>
    <x v="1"/>
    <x v="0"/>
    <x v="0"/>
    <n v="817"/>
    <n v="0.6"/>
    <n v="1"/>
    <n v="0.81699999999999995"/>
    <x v="1"/>
    <n v="1.0621"/>
  </r>
  <r>
    <m/>
    <s v="KAIRE_PAK_PL_HOOD_2xLENT_DiG_Virtuve_1"/>
    <m/>
    <s v="Edgeband1"/>
    <x v="1"/>
    <x v="0"/>
    <x v="0"/>
    <n v="400"/>
    <n v="0.6"/>
    <n v="1"/>
    <n v="0.4"/>
    <x v="1"/>
    <n v="0.52"/>
  </r>
  <r>
    <m/>
    <s v="KAIRE_PAK_PL_HOOD_2xLENT_DiG_Virtuve_1"/>
    <m/>
    <s v="Edgeband3"/>
    <x v="1"/>
    <x v="0"/>
    <x v="0"/>
    <n v="400"/>
    <n v="0.6"/>
    <n v="1"/>
    <n v="0.4"/>
    <x v="1"/>
    <n v="0.52"/>
  </r>
  <r>
    <m/>
    <s v="DESINE_PAK_PL_HOOD_2xLENT_DiG_Virtuve_1"/>
    <m/>
    <s v="Edgeband2"/>
    <x v="1"/>
    <x v="0"/>
    <x v="0"/>
    <n v="817"/>
    <n v="0.6"/>
    <n v="1"/>
    <n v="0.81699999999999995"/>
    <x v="1"/>
    <n v="1.0621"/>
  </r>
  <r>
    <m/>
    <s v="DESINE_PAK_PL_HOOD_2xLENT_DiG_Virtuve_1"/>
    <m/>
    <s v="Edgeband3"/>
    <x v="1"/>
    <x v="0"/>
    <x v="0"/>
    <n v="400"/>
    <n v="0.6"/>
    <n v="1"/>
    <n v="0.4"/>
    <x v="1"/>
    <n v="0.52"/>
  </r>
  <r>
    <m/>
    <s v="DESINE_PAK_PL_HOOD_2xLENT_DiG_Virtuve_1"/>
    <m/>
    <s v="Edgeband1"/>
    <x v="1"/>
    <x v="0"/>
    <x v="0"/>
    <n v="400"/>
    <n v="0.6"/>
    <n v="1"/>
    <n v="0.4"/>
    <x v="1"/>
    <n v="0.52"/>
  </r>
  <r>
    <m/>
    <s v="KAIRE_PAK_PLAUSAS_2xFAS_2xLENT_DiG_Virtuve_1"/>
    <m/>
    <s v="Edgeband2"/>
    <x v="1"/>
    <x v="0"/>
    <x v="0"/>
    <n v="817"/>
    <n v="0.6"/>
    <n v="1"/>
    <n v="0.81699999999999995"/>
    <x v="1"/>
    <n v="1.0621"/>
  </r>
  <r>
    <m/>
    <s v="KAIRE_PAK_PLAUSAS_2xFAS_2xLENT_DiG_Virtuve_1"/>
    <m/>
    <s v="Edgeband1"/>
    <x v="1"/>
    <x v="0"/>
    <x v="0"/>
    <n v="397"/>
    <n v="0.6"/>
    <n v="1"/>
    <n v="0.39700000000000002"/>
    <x v="1"/>
    <n v="0.5161"/>
  </r>
  <r>
    <m/>
    <s v="KAIRE_PAK_PLAUSAS_2xFAS_2xLENT_DiG_Virtuve_1"/>
    <m/>
    <s v="Edgeband3"/>
    <x v="1"/>
    <x v="0"/>
    <x v="0"/>
    <n v="397"/>
    <n v="0.6"/>
    <n v="1"/>
    <n v="0.39700000000000002"/>
    <x v="1"/>
    <n v="0.5161"/>
  </r>
  <r>
    <m/>
    <s v="DESINE_PAK_PLAUSAS_2xFAS_2xLENT_DiG_Virtuve_1"/>
    <m/>
    <s v="Edgeband2"/>
    <x v="1"/>
    <x v="0"/>
    <x v="0"/>
    <n v="817"/>
    <n v="0.6"/>
    <n v="1"/>
    <n v="0.81699999999999995"/>
    <x v="1"/>
    <n v="1.0621"/>
  </r>
  <r>
    <m/>
    <s v="DESINE_PAK_PLAUSAS_2xFAS_2xLENT_DiG_Virtuve_1"/>
    <m/>
    <s v="Edgeband3"/>
    <x v="1"/>
    <x v="0"/>
    <x v="0"/>
    <n v="397"/>
    <n v="0.6"/>
    <n v="1"/>
    <n v="0.39700000000000002"/>
    <x v="1"/>
    <n v="0.5161"/>
  </r>
  <r>
    <m/>
    <s v="DESINE_PAK_PLAUSAS_2xFAS_2xLENT_DiG_Virtuve_1"/>
    <m/>
    <s v="Edgeband1"/>
    <x v="1"/>
    <x v="0"/>
    <x v="0"/>
    <n v="397"/>
    <n v="0.6"/>
    <n v="1"/>
    <n v="0.39700000000000002"/>
    <x v="1"/>
    <n v="0.5161"/>
  </r>
  <r>
    <m/>
    <s v="DESINE_PAK_PLAUSAS_2xFAS_2xLENT_DiG_Virtuve_2"/>
    <m/>
    <s v="Edgeband2"/>
    <x v="1"/>
    <x v="0"/>
    <x v="0"/>
    <n v="817"/>
    <n v="0.6"/>
    <n v="1"/>
    <n v="0.81699999999999995"/>
    <x v="1"/>
    <n v="1.0621"/>
  </r>
  <r>
    <m/>
    <s v="DESINE_PAK_PLAUSAS_2xFAS_2xLENT_DiG_Virtuve_2"/>
    <m/>
    <s v="Edgeband3"/>
    <x v="1"/>
    <x v="0"/>
    <x v="0"/>
    <n v="397"/>
    <n v="0.6"/>
    <n v="1"/>
    <n v="0.39700000000000002"/>
    <x v="1"/>
    <n v="0.5161"/>
  </r>
  <r>
    <m/>
    <s v="DESINE_PAK_PLAUSAS_2xFAS_2xLENT_DiG_Virtuve_2"/>
    <m/>
    <s v="Edgeband1"/>
    <x v="1"/>
    <x v="0"/>
    <x v="0"/>
    <n v="397"/>
    <n v="0.6"/>
    <n v="1"/>
    <n v="0.39700000000000002"/>
    <x v="1"/>
    <n v="0.5161"/>
  </r>
  <r>
    <m/>
    <s v="KAIRE_PAK_PLAUSAS_2xFAS_2xLENT_DiG_Virtuve_2"/>
    <m/>
    <s v="Edgeband2"/>
    <x v="1"/>
    <x v="0"/>
    <x v="0"/>
    <n v="817"/>
    <n v="0.6"/>
    <n v="1"/>
    <n v="0.81699999999999995"/>
    <x v="1"/>
    <n v="1.0621"/>
  </r>
  <r>
    <m/>
    <s v="KAIRE_PAK_PLAUSAS_2xFAS_2xLENT_DiG_Virtuve_2"/>
    <m/>
    <s v="Edgeband1"/>
    <x v="1"/>
    <x v="0"/>
    <x v="0"/>
    <n v="397"/>
    <n v="0.6"/>
    <n v="1"/>
    <n v="0.39700000000000002"/>
    <x v="1"/>
    <n v="0.5161"/>
  </r>
  <r>
    <m/>
    <s v="KAIRE_PAK_PLAUSAS_2xFAS_2xLENT_DiG_Virtuve_2"/>
    <m/>
    <s v="Edgeband3"/>
    <x v="1"/>
    <x v="0"/>
    <x v="0"/>
    <n v="397"/>
    <n v="0.6"/>
    <n v="1"/>
    <n v="0.39700000000000002"/>
    <x v="1"/>
    <n v="0.5161"/>
  </r>
  <r>
    <m/>
    <s v="PERTVARA_PAK_PLAUSAS_2xFAS_2xLENT_DiG_Virtuve_1"/>
    <m/>
    <s v="Edgeband1"/>
    <x v="1"/>
    <x v="0"/>
    <x v="0"/>
    <n v="781"/>
    <n v="0.6"/>
    <n v="1"/>
    <n v="0.78100000000000003"/>
    <x v="1"/>
    <n v="1.0153000000000001"/>
  </r>
  <r>
    <m/>
    <s v="PERTVARA_PAK_PLAUSAS_2xFAS_2xLENT_DiG_Virtuve_2"/>
    <m/>
    <s v="Edgeband1"/>
    <x v="1"/>
    <x v="0"/>
    <x v="0"/>
    <n v="781"/>
    <n v="0.6"/>
    <n v="1"/>
    <n v="0.78100000000000003"/>
    <x v="1"/>
    <n v="1.0153000000000001"/>
  </r>
  <r>
    <m/>
    <s v="DESINE_ORKAITE_TBOX_DiG_Virtuve_1"/>
    <m/>
    <s v="Edgeband1"/>
    <x v="1"/>
    <x v="0"/>
    <x v="0"/>
    <n v="744"/>
    <n v="0.6"/>
    <n v="1"/>
    <n v="0.74399999999999999"/>
    <x v="1"/>
    <n v="0.96720000000000006"/>
  </r>
  <r>
    <m/>
    <s v="KAIRE_ORKAITE_TBOX_DiG_Virtuve_1"/>
    <m/>
    <s v="Edgeband1"/>
    <x v="1"/>
    <x v="0"/>
    <x v="0"/>
    <n v="744"/>
    <n v="0.6"/>
    <n v="1"/>
    <n v="0.74399999999999999"/>
    <x v="1"/>
    <n v="0.96720000000000006"/>
  </r>
  <r>
    <m/>
    <s v="DESINE_KRIAUKLE_FAS_DiG_Virtuve_2"/>
    <m/>
    <s v="Edgeband1"/>
    <x v="1"/>
    <x v="0"/>
    <x v="0"/>
    <n v="744"/>
    <n v="0.6"/>
    <n v="1"/>
    <n v="0.74399999999999999"/>
    <x v="1"/>
    <n v="0.96720000000000006"/>
  </r>
  <r>
    <m/>
    <s v="KAIRE_KRIAUKLE_FAS_DiG_Virtuve_2"/>
    <m/>
    <s v="Edgeband1"/>
    <x v="1"/>
    <x v="0"/>
    <x v="0"/>
    <n v="744"/>
    <n v="0.6"/>
    <n v="1"/>
    <n v="0.74399999999999999"/>
    <x v="1"/>
    <n v="0.96720000000000006"/>
  </r>
  <r>
    <m/>
    <s v="DESINE_PAS_KAIT_4xT_BOX_DiG_Virtuve_1"/>
    <m/>
    <s v="Edgeband1"/>
    <x v="1"/>
    <x v="0"/>
    <x v="0"/>
    <n v="744"/>
    <n v="0.6"/>
    <n v="1"/>
    <n v="0.74399999999999999"/>
    <x v="1"/>
    <n v="0.96720000000000006"/>
  </r>
  <r>
    <m/>
    <s v="KAIRE_PAS_KAIT_4xT_BOX_DiG_Virtuve_1"/>
    <m/>
    <s v="Edgeband1"/>
    <x v="1"/>
    <x v="0"/>
    <x v="0"/>
    <n v="744"/>
    <n v="0.6"/>
    <n v="1"/>
    <n v="0.74399999999999999"/>
    <x v="1"/>
    <n v="0.96720000000000006"/>
  </r>
  <r>
    <m/>
    <s v="KAIRE_PAS_FAS_LAISVA_DiG_Virtuve_1"/>
    <m/>
    <s v="Edgeband1"/>
    <x v="1"/>
    <x v="0"/>
    <x v="0"/>
    <n v="744"/>
    <n v="0.6"/>
    <n v="1"/>
    <n v="0.74399999999999999"/>
    <x v="1"/>
    <n v="0.96720000000000006"/>
  </r>
  <r>
    <m/>
    <s v="DESINE_PAS_FAS_LAISVA_DiG_Virtuve_1"/>
    <m/>
    <s v="Edgeband1"/>
    <x v="1"/>
    <x v="0"/>
    <x v="0"/>
    <n v="744"/>
    <n v="0.6"/>
    <n v="1"/>
    <n v="0.74399999999999999"/>
    <x v="1"/>
    <n v="0.96720000000000006"/>
  </r>
  <r>
    <m/>
    <s v="KAIRE_PAS_FAS_LAISVA_DiG_Virtuve_2"/>
    <m/>
    <s v="Edgeband1"/>
    <x v="1"/>
    <x v="0"/>
    <x v="0"/>
    <n v="744"/>
    <n v="0.6"/>
    <n v="1"/>
    <n v="0.74399999999999999"/>
    <x v="1"/>
    <n v="0.96720000000000006"/>
  </r>
  <r>
    <m/>
    <s v="DESINE_PAS_FAS_LAISVA_DiG_Virtuve_2"/>
    <m/>
    <s v="Edgeband1"/>
    <x v="1"/>
    <x v="0"/>
    <x v="0"/>
    <n v="744"/>
    <n v="0.6"/>
    <n v="1"/>
    <n v="0.74399999999999999"/>
    <x v="1"/>
    <n v="0.96720000000000006"/>
  </r>
  <r>
    <m/>
    <s v="DESINE_CARGO_DiG_Virtuve_1"/>
    <m/>
    <s v="Edgeband1"/>
    <x v="1"/>
    <x v="0"/>
    <x v="0"/>
    <n v="744"/>
    <n v="0.6"/>
    <n v="1"/>
    <n v="0.74399999999999999"/>
    <x v="1"/>
    <n v="0.96720000000000006"/>
  </r>
  <r>
    <m/>
    <s v="KAIRE_CARGO_DiG_Virtuve_1"/>
    <m/>
    <s v="Edgeband1"/>
    <x v="1"/>
    <x v="0"/>
    <x v="0"/>
    <n v="744"/>
    <n v="0.6"/>
    <n v="1"/>
    <n v="0.74399999999999999"/>
    <x v="1"/>
    <n v="0.96720000000000006"/>
  </r>
  <r>
    <m/>
    <s v="DUGNAS_PAS_FAS_LAISVA_DiG_Virtuve_1"/>
    <m/>
    <s v="Edgeband1"/>
    <x v="1"/>
    <x v="0"/>
    <x v="0"/>
    <n v="600"/>
    <n v="0.6"/>
    <n v="1"/>
    <n v="0.6"/>
    <x v="1"/>
    <n v="0.78"/>
  </r>
  <r>
    <m/>
    <s v="DUGNAS_PAS_FAS_LAISVA_DiG_Virtuve_1"/>
    <m/>
    <s v="Edgeband3"/>
    <x v="1"/>
    <x v="0"/>
    <x v="0"/>
    <n v="560"/>
    <n v="0.6"/>
    <n v="1"/>
    <n v="0.56000000000000005"/>
    <x v="1"/>
    <n v="0.72800000000000009"/>
  </r>
  <r>
    <m/>
    <s v="DUGNAS_PAS_FAS_LAISVA_DiG_Virtuve_1"/>
    <m/>
    <s v="Edgeband2"/>
    <x v="1"/>
    <x v="0"/>
    <x v="0"/>
    <n v="560"/>
    <n v="0.6"/>
    <n v="1"/>
    <n v="0.56000000000000005"/>
    <x v="1"/>
    <n v="0.72800000000000009"/>
  </r>
  <r>
    <m/>
    <s v="DUGNAS_PAS_FAS_LAISVA_DiG_Virtuve_2"/>
    <m/>
    <s v="Edgeband1"/>
    <x v="1"/>
    <x v="0"/>
    <x v="0"/>
    <n v="600"/>
    <n v="0.6"/>
    <n v="1"/>
    <n v="0.6"/>
    <x v="1"/>
    <n v="0.78"/>
  </r>
  <r>
    <m/>
    <s v="DUGNAS_PAS_FAS_LAISVA_DiG_Virtuve_2"/>
    <m/>
    <s v="Edgeband3"/>
    <x v="1"/>
    <x v="0"/>
    <x v="0"/>
    <n v="560"/>
    <n v="0.6"/>
    <n v="1"/>
    <n v="0.56000000000000005"/>
    <x v="1"/>
    <n v="0.72800000000000009"/>
  </r>
  <r>
    <m/>
    <s v="DUGNAS_PAS_FAS_LAISVA_DiG_Virtuve_2"/>
    <m/>
    <s v="Edgeband2"/>
    <x v="1"/>
    <x v="0"/>
    <x v="0"/>
    <n v="560"/>
    <n v="0.6"/>
    <n v="1"/>
    <n v="0.56000000000000005"/>
    <x v="1"/>
    <n v="0.72800000000000009"/>
  </r>
  <r>
    <m/>
    <s v="DUGNAS_ORKAITE_TBOX_DiG_Virtuve_1"/>
    <m/>
    <s v="Edgeband1"/>
    <x v="1"/>
    <x v="0"/>
    <x v="0"/>
    <n v="600"/>
    <n v="0.6"/>
    <n v="1"/>
    <n v="0.6"/>
    <x v="1"/>
    <n v="0.78"/>
  </r>
  <r>
    <m/>
    <s v="DUGNAS_ORKAITE_TBOX_DiG_Virtuve_1"/>
    <m/>
    <s v="Edgeband2"/>
    <x v="1"/>
    <x v="0"/>
    <x v="0"/>
    <n v="525"/>
    <n v="0.6"/>
    <n v="1"/>
    <n v="0.52500000000000002"/>
    <x v="1"/>
    <n v="0.68250000000000011"/>
  </r>
  <r>
    <m/>
    <s v="DUGNAS_ORKAITE_TBOX_DiG_Virtuve_1"/>
    <m/>
    <s v="Edgeband3"/>
    <x v="1"/>
    <x v="0"/>
    <x v="0"/>
    <n v="525"/>
    <n v="0.6"/>
    <n v="1"/>
    <n v="0.52500000000000002"/>
    <x v="1"/>
    <n v="0.68250000000000011"/>
  </r>
  <r>
    <m/>
    <s v="DUGNAS_KRIAUKLE_FAS_DiG_Virtuve_2"/>
    <m/>
    <s v="Edgeband2"/>
    <x v="1"/>
    <x v="0"/>
    <x v="0"/>
    <n v="600"/>
    <n v="0.6"/>
    <n v="1"/>
    <n v="0.6"/>
    <x v="1"/>
    <n v="0.78"/>
  </r>
  <r>
    <m/>
    <s v="DUGNAS_KRIAUKLE_FAS_DiG_Virtuve_2"/>
    <m/>
    <s v="Edgeband3"/>
    <x v="1"/>
    <x v="0"/>
    <x v="0"/>
    <n v="480"/>
    <n v="0.6"/>
    <n v="1"/>
    <n v="0.48"/>
    <x v="1"/>
    <n v="0.624"/>
  </r>
  <r>
    <m/>
    <s v="DUGNAS_KRIAUKLE_FAS_DiG_Virtuve_2"/>
    <m/>
    <s v="Edgeband1"/>
    <x v="1"/>
    <x v="0"/>
    <x v="0"/>
    <n v="480"/>
    <n v="0.6"/>
    <n v="1"/>
    <n v="0.48"/>
    <x v="1"/>
    <n v="0.624"/>
  </r>
  <r>
    <m/>
    <s v="LENT_LENT_3_HOLES_KRIAUKLE_FAS_DiG_Virtuve_2_1"/>
    <m/>
    <s v="Edgeband1"/>
    <x v="1"/>
    <x v="0"/>
    <x v="0"/>
    <n v="564"/>
    <n v="0.6"/>
    <n v="1"/>
    <n v="0.56399999999999995"/>
    <x v="1"/>
    <n v="0.73319999999999996"/>
  </r>
  <r>
    <m/>
    <s v="LENT_LENT_3_HOLES_KRIAUKLE_FAS_DiG_Virtuve_2_1"/>
    <m/>
    <s v="Edgeband3"/>
    <x v="1"/>
    <x v="0"/>
    <x v="0"/>
    <n v="564"/>
    <n v="0.6"/>
    <n v="1"/>
    <n v="0.56399999999999995"/>
    <x v="1"/>
    <n v="0.73319999999999996"/>
  </r>
  <r>
    <m/>
    <s v="LENT_LENT_3_HOLES_KRIAUKLE_FAS_DiG_Virtuve_2_1"/>
    <m/>
    <s v="Edgeband2"/>
    <x v="1"/>
    <x v="0"/>
    <x v="0"/>
    <n v="555"/>
    <n v="0.6"/>
    <n v="1"/>
    <n v="0.55500000000000005"/>
    <x v="1"/>
    <n v="0.72150000000000014"/>
  </r>
  <r>
    <m/>
    <s v="LENT_LENT_3_HOLES_KRIAUKLE_FAS_DiG_Virtuve_2_1"/>
    <m/>
    <s v="Edgeband4"/>
    <x v="1"/>
    <x v="0"/>
    <x v="0"/>
    <n v="555"/>
    <n v="0.6"/>
    <n v="1"/>
    <n v="0.55500000000000005"/>
    <x v="1"/>
    <n v="0.72150000000000014"/>
  </r>
  <r>
    <m/>
    <s v="LENT_LENT_3_HOLES_PAS_FAS_LAISVA_DiG_Virtuve_1_1"/>
    <m/>
    <s v="Edgeband1"/>
    <x v="1"/>
    <x v="0"/>
    <x v="0"/>
    <n v="564"/>
    <n v="0.6"/>
    <n v="1"/>
    <n v="0.56399999999999995"/>
    <x v="1"/>
    <n v="0.73319999999999996"/>
  </r>
  <r>
    <m/>
    <s v="LENT_LENT_3_HOLES_PAS_FAS_LAISVA_DiG_Virtuve_1_1"/>
    <m/>
    <s v="Edgeband3"/>
    <x v="1"/>
    <x v="0"/>
    <x v="0"/>
    <n v="564"/>
    <n v="0.6"/>
    <n v="1"/>
    <n v="0.56399999999999995"/>
    <x v="1"/>
    <n v="0.73319999999999996"/>
  </r>
  <r>
    <m/>
    <s v="LENT_LENT_3_HOLES_PAS_FAS_LAISVA_DiG_Virtuve_1_1"/>
    <m/>
    <s v="Edgeband2"/>
    <x v="1"/>
    <x v="0"/>
    <x v="0"/>
    <n v="555"/>
    <n v="0.6"/>
    <n v="1"/>
    <n v="0.55500000000000005"/>
    <x v="1"/>
    <n v="0.72150000000000014"/>
  </r>
  <r>
    <m/>
    <s v="LENT_LENT_3_HOLES_PAS_FAS_LAISVA_DiG_Virtuve_1_1"/>
    <m/>
    <s v="Edgeband4"/>
    <x v="1"/>
    <x v="0"/>
    <x v="0"/>
    <n v="555"/>
    <n v="0.6"/>
    <n v="1"/>
    <n v="0.55500000000000005"/>
    <x v="1"/>
    <n v="0.72150000000000014"/>
  </r>
  <r>
    <m/>
    <s v="LENT_LENT_3_HOLES_PAS_FAS_LAISVA_DiG_Virtuve_2_1"/>
    <m/>
    <s v="Edgeband1"/>
    <x v="1"/>
    <x v="0"/>
    <x v="0"/>
    <n v="564"/>
    <n v="0.6"/>
    <n v="1"/>
    <n v="0.56399999999999995"/>
    <x v="1"/>
    <n v="0.73319999999999996"/>
  </r>
  <r>
    <m/>
    <s v="LENT_LENT_3_HOLES_PAS_FAS_LAISVA_DiG_Virtuve_2_1"/>
    <m/>
    <s v="Edgeband3"/>
    <x v="1"/>
    <x v="0"/>
    <x v="0"/>
    <n v="564"/>
    <n v="0.6"/>
    <n v="1"/>
    <n v="0.56399999999999995"/>
    <x v="1"/>
    <n v="0.73319999999999996"/>
  </r>
  <r>
    <m/>
    <s v="LENT_LENT_3_HOLES_PAS_FAS_LAISVA_DiG_Virtuve_2_1"/>
    <m/>
    <s v="Edgeband2"/>
    <x v="1"/>
    <x v="0"/>
    <x v="0"/>
    <n v="555"/>
    <n v="0.6"/>
    <n v="1"/>
    <n v="0.55500000000000005"/>
    <x v="1"/>
    <n v="0.72150000000000014"/>
  </r>
  <r>
    <m/>
    <s v="LENT_LENT_3_HOLES_PAS_FAS_LAISVA_DiG_Virtuve_2_1"/>
    <m/>
    <s v="Edgeband4"/>
    <x v="1"/>
    <x v="0"/>
    <x v="0"/>
    <n v="555"/>
    <n v="0.6"/>
    <n v="1"/>
    <n v="0.55500000000000005"/>
    <x v="1"/>
    <n v="0.72150000000000014"/>
  </r>
  <r>
    <m/>
    <s v="LENTYNA_ORKAITE_TBOX_DiG_Virtuve_1"/>
    <m/>
    <s v="Edgeband1"/>
    <x v="1"/>
    <x v="0"/>
    <x v="0"/>
    <n v="564"/>
    <n v="0.6"/>
    <n v="1"/>
    <n v="0.56399999999999995"/>
    <x v="1"/>
    <n v="0.73319999999999996"/>
  </r>
  <r>
    <m/>
    <s v="SURISIMAS_KRIAUKLE_FAS_DiG_Virtuve_2"/>
    <m/>
    <s v="Edgeband1"/>
    <x v="1"/>
    <x v="0"/>
    <x v="0"/>
    <n v="564"/>
    <n v="0.6"/>
    <n v="1"/>
    <n v="0.56399999999999995"/>
    <x v="1"/>
    <n v="0.73319999999999996"/>
  </r>
  <r>
    <m/>
    <s v="SURISIMAS_1_KRIAUKLE_FAS_DiG_Virtuve_2"/>
    <m/>
    <s v="Edgeband1"/>
    <x v="1"/>
    <x v="0"/>
    <x v="0"/>
    <n v="564"/>
    <n v="0.6"/>
    <n v="1"/>
    <n v="0.56399999999999995"/>
    <x v="1"/>
    <n v="0.73319999999999996"/>
  </r>
  <r>
    <m/>
    <s v="SURISIMAS_2_KRIAUKLE_FAS_DiG_Virtuve_2"/>
    <m/>
    <s v="Edgeband1"/>
    <x v="1"/>
    <x v="0"/>
    <x v="0"/>
    <n v="564"/>
    <n v="0.6"/>
    <n v="1"/>
    <n v="0.56399999999999995"/>
    <x v="1"/>
    <n v="0.73319999999999996"/>
  </r>
  <r>
    <m/>
    <s v="SURISIMAS_1_PAS_FAS_LAISVA_DiG_Virtuve_1"/>
    <m/>
    <s v="Edgeband1"/>
    <x v="1"/>
    <x v="0"/>
    <x v="0"/>
    <n v="564"/>
    <n v="0.6"/>
    <n v="1"/>
    <n v="0.56399999999999995"/>
    <x v="1"/>
    <n v="0.73319999999999996"/>
  </r>
  <r>
    <m/>
    <s v="SURISIMAS_PAS_FAS_LAISVA_DiG_Virtuve_1"/>
    <m/>
    <s v="Edgeband1"/>
    <x v="1"/>
    <x v="0"/>
    <x v="0"/>
    <n v="564"/>
    <n v="0.6"/>
    <n v="1"/>
    <n v="0.56399999999999995"/>
    <x v="1"/>
    <n v="0.73319999999999996"/>
  </r>
  <r>
    <m/>
    <s v="SURISIMAS_PAS_FAS_LAISVA_DiG_Virtuve_1"/>
    <m/>
    <s v="Edgeband2"/>
    <x v="1"/>
    <x v="0"/>
    <x v="0"/>
    <n v="564"/>
    <n v="0.6"/>
    <n v="1"/>
    <n v="0.56399999999999995"/>
    <x v="1"/>
    <n v="0.73319999999999996"/>
  </r>
  <r>
    <m/>
    <s v="SURISIMAS_1_PAS_FAS_LAISVA_DiG_Virtuve_2"/>
    <m/>
    <s v="Edgeband1"/>
    <x v="1"/>
    <x v="0"/>
    <x v="0"/>
    <n v="564"/>
    <n v="0.6"/>
    <n v="1"/>
    <n v="0.56399999999999995"/>
    <x v="1"/>
    <n v="0.73319999999999996"/>
  </r>
  <r>
    <m/>
    <s v="SURISIMAS_PAS_FAS_LAISVA_DiG_Virtuve_2"/>
    <m/>
    <s v="Edgeband1"/>
    <x v="1"/>
    <x v="0"/>
    <x v="0"/>
    <n v="564"/>
    <n v="0.6"/>
    <n v="1"/>
    <n v="0.56399999999999995"/>
    <x v="1"/>
    <n v="0.73319999999999996"/>
  </r>
  <r>
    <m/>
    <s v="SURISIMAS_PAS_FAS_LAISVA_DiG_Virtuve_2"/>
    <m/>
    <s v="Edgeband2"/>
    <x v="1"/>
    <x v="0"/>
    <x v="0"/>
    <n v="564"/>
    <n v="0.6"/>
    <n v="1"/>
    <n v="0.56399999999999995"/>
    <x v="1"/>
    <n v="0.73319999999999996"/>
  </r>
  <r>
    <m/>
    <s v="GARTRAUKIO_UZDENGIMAS_PRIEKIS_PAK_PL_HOOD_2xLENT_DiG_Virtuve_1"/>
    <m/>
    <s v="Edgeband3"/>
    <x v="1"/>
    <x v="0"/>
    <x v="0"/>
    <n v="540"/>
    <n v="0.6"/>
    <n v="1"/>
    <n v="0.54"/>
    <x v="1"/>
    <n v="0.70200000000000007"/>
  </r>
  <r>
    <m/>
    <s v="GARTRAUKIO_UZDENGIMAS_PRIEKIS_PAK_PL_HOOD_2xLENT_DiG_Virtuve_1"/>
    <m/>
    <s v="Edgeband1"/>
    <x v="1"/>
    <x v="0"/>
    <x v="0"/>
    <n v="332"/>
    <n v="0.6"/>
    <n v="1"/>
    <n v="0.33200000000000002"/>
    <x v="1"/>
    <n v="0.43160000000000004"/>
  </r>
  <r>
    <m/>
    <s v="GARTRAUKIO_UZDENGIMAS_PRIEKIS_PAK_PL_HOOD_2xLENT_DiG_Virtuve_1"/>
    <m/>
    <s v="Edgeband2"/>
    <x v="1"/>
    <x v="0"/>
    <x v="0"/>
    <n v="332"/>
    <n v="0.6"/>
    <n v="1"/>
    <n v="0.33200000000000002"/>
    <x v="1"/>
    <n v="0.43160000000000004"/>
  </r>
  <r>
    <m/>
    <s v="LENTYNA PAK_LENTYNA PAK_PAK_PLAUSAS_2xFAS_2xLENT_DiG_Virtuve_1_2"/>
    <m/>
    <s v="Edgeband1"/>
    <x v="1"/>
    <x v="0"/>
    <x v="0"/>
    <n v="473"/>
    <n v="0.6"/>
    <n v="2"/>
    <n v="0.94599999999999995"/>
    <x v="1"/>
    <n v="1.2298"/>
  </r>
  <r>
    <m/>
    <s v="LENTYNA PAK_LENTYNA PAK_PAK_PLAUSAS_2xFAS_2xLENT_DiG_Virtuve_1_2"/>
    <m/>
    <s v="Edgeband3"/>
    <x v="1"/>
    <x v="0"/>
    <x v="0"/>
    <n v="473"/>
    <n v="0.6"/>
    <n v="2"/>
    <n v="0.94599999999999995"/>
    <x v="1"/>
    <n v="1.2298"/>
  </r>
  <r>
    <m/>
    <s v="LENTYNA PAK_LENTYNA PAK_PAK_PLAUSAS_2xFAS_2xLENT_DiG_Virtuve_1_2"/>
    <m/>
    <s v="Edgeband4"/>
    <x v="1"/>
    <x v="0"/>
    <x v="0"/>
    <n v="392"/>
    <n v="0.6"/>
    <n v="2"/>
    <n v="0.78400000000000003"/>
    <x v="1"/>
    <n v="1.0192000000000001"/>
  </r>
  <r>
    <m/>
    <s v="LENTYNA PAK_LENTYNA PAK_PAK_PLAUSAS_2xFAS_2xLENT_DiG_Virtuve_1_2"/>
    <m/>
    <s v="Edgeband2"/>
    <x v="1"/>
    <x v="0"/>
    <x v="0"/>
    <n v="392"/>
    <n v="0.6"/>
    <n v="2"/>
    <n v="0.78400000000000003"/>
    <x v="1"/>
    <n v="1.0192000000000001"/>
  </r>
  <r>
    <m/>
    <s v="LENTYNA PAK_LENTYNA PAK_PAK_PLAUSAS_2xFAS_2xLENT_DiG_Virtuve_1_1"/>
    <m/>
    <s v="Edgeband1"/>
    <x v="1"/>
    <x v="0"/>
    <x v="0"/>
    <n v="473"/>
    <n v="0.6"/>
    <n v="2"/>
    <n v="0.94599999999999995"/>
    <x v="1"/>
    <n v="1.2298"/>
  </r>
  <r>
    <m/>
    <s v="LENTYNA PAK_LENTYNA PAK_PAK_PLAUSAS_2xFAS_2xLENT_DiG_Virtuve_1_1"/>
    <m/>
    <s v="Edgeband3"/>
    <x v="1"/>
    <x v="0"/>
    <x v="0"/>
    <n v="473"/>
    <n v="0.6"/>
    <n v="2"/>
    <n v="0.94599999999999995"/>
    <x v="1"/>
    <n v="1.2298"/>
  </r>
  <r>
    <m/>
    <s v="LENTYNA PAK_LENTYNA PAK_PAK_PLAUSAS_2xFAS_2xLENT_DiG_Virtuve_1_1"/>
    <m/>
    <s v="Edgeband4"/>
    <x v="1"/>
    <x v="0"/>
    <x v="0"/>
    <n v="392"/>
    <n v="0.6"/>
    <n v="2"/>
    <n v="0.78400000000000003"/>
    <x v="1"/>
    <n v="1.0192000000000001"/>
  </r>
  <r>
    <m/>
    <s v="LENTYNA PAK_LENTYNA PAK_PAK_PLAUSAS_2xFAS_2xLENT_DiG_Virtuve_1_1"/>
    <m/>
    <s v="Edgeband2"/>
    <x v="1"/>
    <x v="0"/>
    <x v="0"/>
    <n v="392"/>
    <n v="0.6"/>
    <n v="2"/>
    <n v="0.78400000000000003"/>
    <x v="1"/>
    <n v="1.0192000000000001"/>
  </r>
  <r>
    <m/>
    <s v="LENTYNA PAK_LENTYNA PAK_PAK_PLAUSAS_2xFAS_2xLENT_DiG_Virtuve_2_1"/>
    <m/>
    <s v="Edgeband1"/>
    <x v="1"/>
    <x v="0"/>
    <x v="0"/>
    <n v="473"/>
    <n v="0.6"/>
    <n v="2"/>
    <n v="0.94599999999999995"/>
    <x v="1"/>
    <n v="1.2298"/>
  </r>
  <r>
    <m/>
    <s v="LENTYNA PAK_LENTYNA PAK_PAK_PLAUSAS_2xFAS_2xLENT_DiG_Virtuve_2_1"/>
    <m/>
    <s v="Edgeband3"/>
    <x v="1"/>
    <x v="0"/>
    <x v="0"/>
    <n v="473"/>
    <n v="0.6"/>
    <n v="2"/>
    <n v="0.94599999999999995"/>
    <x v="1"/>
    <n v="1.2298"/>
  </r>
  <r>
    <m/>
    <s v="LENTYNA PAK_LENTYNA PAK_PAK_PLAUSAS_2xFAS_2xLENT_DiG_Virtuve_2_1"/>
    <m/>
    <s v="Edgeband4"/>
    <x v="1"/>
    <x v="0"/>
    <x v="0"/>
    <n v="392"/>
    <n v="0.6"/>
    <n v="2"/>
    <n v="0.78400000000000003"/>
    <x v="1"/>
    <n v="1.0192000000000001"/>
  </r>
  <r>
    <m/>
    <s v="LENTYNA PAK_LENTYNA PAK_PAK_PLAUSAS_2xFAS_2xLENT_DiG_Virtuve_2_1"/>
    <m/>
    <s v="Edgeband2"/>
    <x v="1"/>
    <x v="0"/>
    <x v="0"/>
    <n v="392"/>
    <n v="0.6"/>
    <n v="2"/>
    <n v="0.78400000000000003"/>
    <x v="1"/>
    <n v="1.0192000000000001"/>
  </r>
  <r>
    <m/>
    <s v="LENTYNA PAK_LENTYNA PAK_PAK_PLAUSAS_2xFAS_2xLENT_DiG_Virtuve_2_2"/>
    <m/>
    <s v="Edgeband1"/>
    <x v="1"/>
    <x v="0"/>
    <x v="0"/>
    <n v="473"/>
    <n v="0.6"/>
    <n v="2"/>
    <n v="0.94599999999999995"/>
    <x v="1"/>
    <n v="1.2298"/>
  </r>
  <r>
    <m/>
    <s v="LENTYNA PAK_LENTYNA PAK_PAK_PLAUSAS_2xFAS_2xLENT_DiG_Virtuve_2_2"/>
    <m/>
    <s v="Edgeband3"/>
    <x v="1"/>
    <x v="0"/>
    <x v="0"/>
    <n v="473"/>
    <n v="0.6"/>
    <n v="2"/>
    <n v="0.94599999999999995"/>
    <x v="1"/>
    <n v="1.2298"/>
  </r>
  <r>
    <m/>
    <s v="LENTYNA PAK_LENTYNA PAK_PAK_PLAUSAS_2xFAS_2xLENT_DiG_Virtuve_2_2"/>
    <m/>
    <s v="Edgeband4"/>
    <x v="1"/>
    <x v="0"/>
    <x v="0"/>
    <n v="392"/>
    <n v="0.6"/>
    <n v="2"/>
    <n v="0.78400000000000003"/>
    <x v="1"/>
    <n v="1.0192000000000001"/>
  </r>
  <r>
    <m/>
    <s v="LENTYNA PAK_LENTYNA PAK_PAK_PLAUSAS_2xFAS_2xLENT_DiG_Virtuve_2_2"/>
    <m/>
    <s v="Edgeband2"/>
    <x v="1"/>
    <x v="0"/>
    <x v="0"/>
    <n v="392"/>
    <n v="0.6"/>
    <n v="2"/>
    <n v="0.78400000000000003"/>
    <x v="1"/>
    <n v="1.0192000000000001"/>
  </r>
  <r>
    <m/>
    <s v="DUGNAS_PAS_KAIT_4xT_BOX_DiG_Virtuve_1"/>
    <m/>
    <s v="Edgeband3"/>
    <x v="1"/>
    <x v="0"/>
    <x v="0"/>
    <n v="400"/>
    <n v="0.6"/>
    <n v="1"/>
    <n v="0.4"/>
    <x v="1"/>
    <n v="0.52"/>
  </r>
  <r>
    <m/>
    <s v="DUGNAS_PAS_KAIT_4xT_BOX_DiG_Virtuve_1"/>
    <m/>
    <s v="Edgeband4"/>
    <x v="1"/>
    <x v="0"/>
    <x v="0"/>
    <n v="400"/>
    <n v="0.6"/>
    <n v="1"/>
    <n v="0.4"/>
    <x v="1"/>
    <n v="0.52"/>
  </r>
  <r>
    <m/>
    <s v="DUGNAS_PAS_KAIT_4xT_BOX_DiG_Virtuve_1"/>
    <m/>
    <s v="Edgeband2"/>
    <x v="1"/>
    <x v="0"/>
    <x v="0"/>
    <n v="510"/>
    <n v="0.6"/>
    <n v="1"/>
    <n v="0.51"/>
    <x v="1"/>
    <n v="0.66300000000000003"/>
  </r>
  <r>
    <m/>
    <s v="DUGNAS_PAS_KAIT_4xT_BOX_DiG_Virtuve_1"/>
    <m/>
    <s v="Edgeband1"/>
    <x v="1"/>
    <x v="0"/>
    <x v="0"/>
    <n v="510"/>
    <n v="0.6"/>
    <n v="1"/>
    <n v="0.51"/>
    <x v="1"/>
    <n v="0.66300000000000003"/>
  </r>
  <r>
    <m/>
    <s v="SURISIMAS_2_PAS_KAIT_4xT_BOX_DiG_Virtuve_1"/>
    <m/>
    <s v="Edgeband1"/>
    <x v="1"/>
    <x v="0"/>
    <x v="0"/>
    <n v="364"/>
    <n v="0.6"/>
    <n v="1"/>
    <n v="0.36399999999999999"/>
    <x v="1"/>
    <n v="0.47320000000000001"/>
  </r>
  <r>
    <m/>
    <s v="SURISIMAS_PAS_KAIT_4xT_BOX_DiG_Virtuve_1"/>
    <m/>
    <s v="Edgeband1"/>
    <x v="1"/>
    <x v="0"/>
    <x v="0"/>
    <n v="364"/>
    <n v="0.6"/>
    <n v="1"/>
    <n v="0.36399999999999999"/>
    <x v="1"/>
    <n v="0.47320000000000001"/>
  </r>
  <r>
    <m/>
    <s v="SURISIMAS_PAS_KAIT_4xT_BOX_DiG_Virtuve_1"/>
    <m/>
    <s v="Edgeband2"/>
    <x v="1"/>
    <x v="0"/>
    <x v="0"/>
    <n v="364"/>
    <n v="0.6"/>
    <n v="1"/>
    <n v="0.36399999999999999"/>
    <x v="1"/>
    <n v="0.47320000000000001"/>
  </r>
  <r>
    <m/>
    <s v="SURISMAS_PAS_KAIT_4xT_BOX_DiG_Virtuve_1"/>
    <m/>
    <s v="Edgeband1"/>
    <x v="1"/>
    <x v="0"/>
    <x v="0"/>
    <n v="364"/>
    <n v="0.6"/>
    <n v="1"/>
    <n v="0.36399999999999999"/>
    <x v="1"/>
    <n v="0.47320000000000001"/>
  </r>
  <r>
    <m/>
    <s v="GARTRAUKIO_UZDENGIMAS_KAIRE_PAK_PL_HOOD_2xLENT_DiG_Virtuve_1"/>
    <m/>
    <s v="Edgeband3"/>
    <x v="1"/>
    <x v="0"/>
    <x v="0"/>
    <n v="332"/>
    <n v="0.6"/>
    <n v="1"/>
    <n v="0.33200000000000002"/>
    <x v="1"/>
    <n v="0.43160000000000004"/>
  </r>
  <r>
    <m/>
    <s v="GARTRAUKIO_UZDENGIMAS_KAIRE_PAK_PL_HOOD_2xLENT_DiG_Virtuve_1"/>
    <m/>
    <s v="Edgeband2"/>
    <x v="1"/>
    <x v="0"/>
    <x v="0"/>
    <n v="317"/>
    <n v="0.6"/>
    <n v="1"/>
    <n v="0.317"/>
    <x v="1"/>
    <n v="0.41210000000000002"/>
  </r>
  <r>
    <m/>
    <s v="GARTRAUKIO_UZDENGIMAS_KAIRE_PAK_PL_HOOD_2xLENT_DiG_Virtuve_1"/>
    <m/>
    <s v="Edgeband1"/>
    <x v="1"/>
    <x v="0"/>
    <x v="0"/>
    <n v="317"/>
    <n v="0.6"/>
    <n v="1"/>
    <n v="0.317"/>
    <x v="1"/>
    <n v="0.41210000000000002"/>
  </r>
  <r>
    <m/>
    <s v="GARTRAUKIO_UZDENGIMAS_DESINE_PAK_PL_HOOD_2xLENT_DiG_Virtuve_1"/>
    <m/>
    <s v="Edgeband3"/>
    <x v="1"/>
    <x v="0"/>
    <x v="0"/>
    <n v="332"/>
    <n v="0.6"/>
    <n v="1"/>
    <n v="0.33200000000000002"/>
    <x v="1"/>
    <n v="0.43160000000000004"/>
  </r>
  <r>
    <m/>
    <s v="GARTRAUKIO_UZDENGIMAS_DESINE_PAK_PL_HOOD_2xLENT_DiG_Virtuve_1"/>
    <m/>
    <s v="Edgeband1"/>
    <x v="1"/>
    <x v="0"/>
    <x v="0"/>
    <n v="314"/>
    <n v="0.6"/>
    <n v="1"/>
    <n v="0.314"/>
    <x v="1"/>
    <n v="0.40820000000000001"/>
  </r>
  <r>
    <m/>
    <s v="GARTRAUKIO_UZDENGIMAS_DESINE_PAK_PL_HOOD_2xLENT_DiG_Virtuve_1"/>
    <m/>
    <s v="Edgeband2"/>
    <x v="1"/>
    <x v="0"/>
    <x v="0"/>
    <n v="314"/>
    <n v="0.6"/>
    <n v="1"/>
    <n v="0.314"/>
    <x v="1"/>
    <n v="0.40820000000000001"/>
  </r>
  <r>
    <m/>
    <s v="DUGNAS_CARGO_DiG_Virtuve_1"/>
    <m/>
    <s v="Edgeband1"/>
    <x v="1"/>
    <x v="0"/>
    <x v="0"/>
    <n v="238"/>
    <n v="0.6"/>
    <n v="1"/>
    <n v="0.23799999999999999"/>
    <x v="1"/>
    <n v="0.30940000000000001"/>
  </r>
  <r>
    <m/>
    <s v="DUGNAS_CARGO_DiG_Virtuve_1"/>
    <m/>
    <s v="Edgeband3"/>
    <x v="1"/>
    <x v="0"/>
    <x v="0"/>
    <n v="525"/>
    <n v="0.6"/>
    <n v="1"/>
    <n v="0.52500000000000002"/>
    <x v="1"/>
    <n v="0.68250000000000011"/>
  </r>
  <r>
    <m/>
    <s v="DUGNAS_CARGO_DiG_Virtuve_1"/>
    <m/>
    <s v="Edgeband2"/>
    <x v="1"/>
    <x v="0"/>
    <x v="0"/>
    <n v="525"/>
    <n v="0.6"/>
    <n v="1"/>
    <n v="0.52500000000000002"/>
    <x v="1"/>
    <n v="0.68250000000000011"/>
  </r>
  <r>
    <m/>
    <s v="GARTRAUKIO_UZDENGIMAS_11_PAK_PL_HOOD_2xLENT_DiG_Virtuve_1"/>
    <m/>
    <s v="Edgeband2"/>
    <x v="1"/>
    <x v="0"/>
    <x v="0"/>
    <n v="205.5"/>
    <n v="0.6"/>
    <n v="1"/>
    <n v="0.20549999999999999"/>
    <x v="1"/>
    <n v="0.26715"/>
  </r>
  <r>
    <m/>
    <s v="GARTRAUKIO_UZDENGIMAS_11_PAK_PL_HOOD_2xLENT_DiG_Virtuve_1"/>
    <m/>
    <s v="Edgeband1"/>
    <x v="1"/>
    <x v="0"/>
    <x v="0"/>
    <n v="264"/>
    <n v="0.6"/>
    <n v="1"/>
    <n v="0.26400000000000001"/>
    <x v="1"/>
    <n v="0.34320000000000001"/>
  </r>
  <r>
    <m/>
    <s v="GARTRAUKIO_UZDENGIMAS_11_PAK_PL_HOOD_2xLENT_DiG_Virtuve_1"/>
    <m/>
    <s v="Edgeband3"/>
    <x v="1"/>
    <x v="0"/>
    <x v="0"/>
    <n v="264"/>
    <n v="0.6"/>
    <n v="1"/>
    <n v="0.26400000000000001"/>
    <x v="1"/>
    <n v="0.34320000000000001"/>
  </r>
  <r>
    <m/>
    <s v="GARTRAUKIO_UZDENGIMAS_8_PAK_PL_HOOD_2xLENT_DiG_Virtuve_1"/>
    <m/>
    <s v="Edgeband3"/>
    <x v="1"/>
    <x v="0"/>
    <x v="0"/>
    <n v="205.5"/>
    <n v="0.6"/>
    <n v="1"/>
    <n v="0.20549999999999999"/>
    <x v="1"/>
    <n v="0.26715"/>
  </r>
  <r>
    <m/>
    <s v="GARTRAUKIO_UZDENGIMAS_8_PAK_PL_HOOD_2xLENT_DiG_Virtuve_1"/>
    <m/>
    <s v="Edgeband2"/>
    <x v="1"/>
    <x v="0"/>
    <x v="0"/>
    <n v="264"/>
    <n v="0.6"/>
    <n v="1"/>
    <n v="0.26400000000000001"/>
    <x v="1"/>
    <n v="0.34320000000000001"/>
  </r>
  <r>
    <m/>
    <s v="GARTRAUKIO_UZDENGIMAS_8_PAK_PL_HOOD_2xLENT_DiG_Virtuve_1"/>
    <m/>
    <s v="Edgeband1"/>
    <x v="1"/>
    <x v="0"/>
    <x v="0"/>
    <n v="264"/>
    <n v="0.6"/>
    <n v="1"/>
    <n v="0.26400000000000001"/>
    <x v="1"/>
    <n v="0.34320000000000001"/>
  </r>
  <r>
    <m/>
    <s v="GARTRAUKIO_UZDENGIMAS_9_PAK_PL_HOOD_2xLENT_DiG_Virtuve_1"/>
    <m/>
    <s v="Edgeband3"/>
    <x v="1"/>
    <x v="0"/>
    <x v="0"/>
    <n v="205.5"/>
    <n v="0.6"/>
    <n v="1"/>
    <n v="0.20549999999999999"/>
    <x v="1"/>
    <n v="0.26715"/>
  </r>
  <r>
    <m/>
    <s v="GARTRAUKIO_UZDENGIMAS_9_PAK_PL_HOOD_2xLENT_DiG_Virtuve_1"/>
    <m/>
    <s v="Edgeband1"/>
    <x v="1"/>
    <x v="0"/>
    <x v="0"/>
    <n v="261"/>
    <n v="0.6"/>
    <n v="1"/>
    <n v="0.26100000000000001"/>
    <x v="1"/>
    <n v="0.33930000000000005"/>
  </r>
  <r>
    <m/>
    <s v="GARTRAUKIO_UZDENGIMAS_9_PAK_PL_HOOD_2xLENT_DiG_Virtuve_1"/>
    <m/>
    <s v="Edgeband2"/>
    <x v="1"/>
    <x v="0"/>
    <x v="0"/>
    <n v="261"/>
    <n v="0.6"/>
    <n v="1"/>
    <n v="0.26100000000000001"/>
    <x v="1"/>
    <n v="0.33930000000000005"/>
  </r>
  <r>
    <m/>
    <s v="GARTRAUKIO_UZDENGIMAS_10_PAK_PL_HOOD_2xLENT_DiG_Virtuve_1"/>
    <m/>
    <s v="Edgeband3"/>
    <x v="1"/>
    <x v="0"/>
    <x v="0"/>
    <n v="205.5"/>
    <n v="0.6"/>
    <n v="1"/>
    <n v="0.20549999999999999"/>
    <x v="1"/>
    <n v="0.26715"/>
  </r>
  <r>
    <m/>
    <s v="GARTRAUKIO_UZDENGIMAS_10_PAK_PL_HOOD_2xLENT_DiG_Virtuve_1"/>
    <m/>
    <s v="Edgeband2"/>
    <x v="1"/>
    <x v="0"/>
    <x v="0"/>
    <n v="261"/>
    <n v="0.6"/>
    <n v="1"/>
    <n v="0.26100000000000001"/>
    <x v="1"/>
    <n v="0.33930000000000005"/>
  </r>
  <r>
    <m/>
    <s v="GARTRAUKIO_UZDENGIMAS_10_PAK_PL_HOOD_2xLENT_DiG_Virtuve_1"/>
    <m/>
    <s v="Edgeband1"/>
    <x v="1"/>
    <x v="0"/>
    <x v="0"/>
    <n v="261"/>
    <n v="0.6"/>
    <n v="1"/>
    <n v="0.26100000000000001"/>
    <x v="1"/>
    <n v="0.33930000000000005"/>
  </r>
  <r>
    <m/>
    <s v="SURISIMAS_1_CARGO_DiG_Virtuve_1"/>
    <m/>
    <s v="Edgeband1"/>
    <x v="1"/>
    <x v="0"/>
    <x v="0"/>
    <n v="202"/>
    <n v="0.6"/>
    <n v="1"/>
    <n v="0.20200000000000001"/>
    <x v="1"/>
    <n v="0.2626"/>
  </r>
  <r>
    <m/>
    <s v="GARTRAUKIO_UZDENGIMAS_7_PAK_PL_HOOD_2xLENT_DiG_Virtuve_1"/>
    <m/>
    <s v="Edgeband1"/>
    <x v="1"/>
    <x v="0"/>
    <x v="0"/>
    <n v="180"/>
    <n v="0.6"/>
    <n v="1"/>
    <n v="0.18"/>
    <x v="1"/>
    <n v="0.23399999999999999"/>
  </r>
  <r>
    <m/>
    <s v="GARTRAUKIO_UZDENGIMAS_7_PAK_PL_HOOD_2xLENT_DiG_Virtuve_1"/>
    <m/>
    <s v="Edgeband4"/>
    <x v="1"/>
    <x v="0"/>
    <x v="0"/>
    <n v="180"/>
    <n v="0.6"/>
    <n v="1"/>
    <n v="0.18"/>
    <x v="1"/>
    <n v="0.23399999999999999"/>
  </r>
  <r>
    <m/>
    <s v="GARTRAUKIO_UZDENGIMAS_7_PAK_PL_HOOD_2xLENT_DiG_Virtuve_1"/>
    <m/>
    <s v="Edgeband2"/>
    <x v="1"/>
    <x v="0"/>
    <x v="0"/>
    <n v="205.5"/>
    <n v="0.6"/>
    <n v="1"/>
    <n v="0.20549999999999999"/>
    <x v="1"/>
    <n v="0.26715"/>
  </r>
  <r>
    <m/>
    <s v="GARTRAUKIO_UZDENGIMAS_7_PAK_PL_HOOD_2xLENT_DiG_Virtuve_1"/>
    <m/>
    <s v="Edgeband3"/>
    <x v="1"/>
    <x v="0"/>
    <x v="0"/>
    <n v="205.5"/>
    <n v="0.6"/>
    <n v="1"/>
    <n v="0.20549999999999999"/>
    <x v="1"/>
    <n v="0.26715"/>
  </r>
  <r>
    <m/>
    <s v="GARTRAUKIO_UZDENGIMAS_6_PAK_PL_HOOD_2xLENT_DiG_Virtuve_1"/>
    <m/>
    <s v="Edgeband2"/>
    <x v="1"/>
    <x v="0"/>
    <x v="0"/>
    <n v="180"/>
    <n v="0.6"/>
    <n v="1"/>
    <n v="0.18"/>
    <x v="1"/>
    <n v="0.23399999999999999"/>
  </r>
  <r>
    <m/>
    <s v="GARTRAUKIO_UZDENGIMAS_6_PAK_PL_HOOD_2xLENT_DiG_Virtuve_1"/>
    <m/>
    <s v="Edgeband1"/>
    <x v="1"/>
    <x v="0"/>
    <x v="0"/>
    <n v="180"/>
    <n v="0.6"/>
    <n v="1"/>
    <n v="0.18"/>
    <x v="1"/>
    <n v="0.23399999999999999"/>
  </r>
  <r>
    <m/>
    <s v="GARTRAUKIO_UZDENGIMAS_6_PAK_PL_HOOD_2xLENT_DiG_Virtuve_1"/>
    <m/>
    <s v="Edgeband3"/>
    <x v="1"/>
    <x v="0"/>
    <x v="0"/>
    <n v="205.5"/>
    <n v="0.6"/>
    <n v="1"/>
    <n v="0.20549999999999999"/>
    <x v="1"/>
    <n v="0.26715"/>
  </r>
  <r>
    <m/>
    <s v="GARTRAUKIO_UZDENGIMAS_6_PAK_PL_HOOD_2xLENT_DiG_Virtuve_1"/>
    <m/>
    <s v="Edgeband4"/>
    <x v="1"/>
    <x v="0"/>
    <x v="0"/>
    <n v="205.5"/>
    <n v="0.6"/>
    <n v="1"/>
    <n v="0.20549999999999999"/>
    <x v="1"/>
    <n v="0.26715"/>
  </r>
  <r>
    <m/>
    <s v="FASADAS2__FASADAI_VERT_PAK_PL_HOOD_2xLENT_DiG_Virtuve_1_2"/>
    <m/>
    <s v="Edgeband1"/>
    <x v="0"/>
    <x v="0"/>
    <x v="0"/>
    <n v="526"/>
    <n v="1"/>
    <n v="1"/>
    <n v="0.52600000000000002"/>
    <x v="0"/>
    <n v="0.78900000000000003"/>
  </r>
  <r>
    <m/>
    <s v="FASADAS2__FASADAI_VERT_PAK_PL_HOOD_2xLENT_DiG_Virtuve_1_2"/>
    <m/>
    <s v="Edgeband2"/>
    <x v="0"/>
    <x v="0"/>
    <x v="0"/>
    <n v="526"/>
    <n v="1"/>
    <n v="1"/>
    <n v="0.52600000000000002"/>
    <x v="0"/>
    <n v="0.78900000000000003"/>
  </r>
  <r>
    <m/>
    <s v="FASADAS2__FASADAI_VERT_PAK_PL_HOOD_2xLENT_DiG_Virtuve_1_2"/>
    <m/>
    <s v="Edgeband4"/>
    <x v="0"/>
    <x v="0"/>
    <x v="0"/>
    <n v="837"/>
    <n v="1"/>
    <n v="1"/>
    <n v="0.83699999999999997"/>
    <x v="0"/>
    <n v="1.2555000000000001"/>
  </r>
  <r>
    <m/>
    <s v="FASADAS2__FASADAI_VERT_PAK_PL_HOOD_2xLENT_DiG_Virtuve_1_2"/>
    <m/>
    <s v="Edgeband3"/>
    <x v="0"/>
    <x v="0"/>
    <x v="0"/>
    <n v="837"/>
    <n v="1"/>
    <n v="1"/>
    <n v="0.83699999999999997"/>
    <x v="0"/>
    <n v="1.2555000000000001"/>
  </r>
  <r>
    <m/>
    <s v="FASADAS1_FASADAI_VERT_PAK_PL_HOOD_2xLENT_DiG_Virtuve_1_2"/>
    <m/>
    <s v="Edgeband1"/>
    <x v="0"/>
    <x v="0"/>
    <x v="0"/>
    <n v="526"/>
    <n v="1"/>
    <n v="1"/>
    <n v="0.52600000000000002"/>
    <x v="0"/>
    <n v="0.78900000000000003"/>
  </r>
  <r>
    <m/>
    <s v="FASADAS1_FASADAI_VERT_PAK_PL_HOOD_2xLENT_DiG_Virtuve_1_2"/>
    <m/>
    <s v="Edgeband2"/>
    <x v="0"/>
    <x v="0"/>
    <x v="0"/>
    <n v="526"/>
    <n v="1"/>
    <n v="1"/>
    <n v="0.52600000000000002"/>
    <x v="0"/>
    <n v="0.78900000000000003"/>
  </r>
  <r>
    <m/>
    <s v="FASADAS1_FASADAI_VERT_PAK_PL_HOOD_2xLENT_DiG_Virtuve_1_2"/>
    <m/>
    <s v="Edgeband4"/>
    <x v="0"/>
    <x v="0"/>
    <x v="0"/>
    <n v="837"/>
    <n v="1"/>
    <n v="1"/>
    <n v="0.83699999999999997"/>
    <x v="0"/>
    <n v="1.2555000000000001"/>
  </r>
  <r>
    <m/>
    <s v="FASADAS1_FASADAI_VERT_PAK_PL_HOOD_2xLENT_DiG_Virtuve_1_2"/>
    <m/>
    <s v="Edgeband3"/>
    <x v="0"/>
    <x v="0"/>
    <x v="0"/>
    <n v="837"/>
    <n v="1"/>
    <n v="1"/>
    <n v="0.83699999999999997"/>
    <x v="0"/>
    <n v="1.2555000000000001"/>
  </r>
  <r>
    <m/>
    <s v="FASADAS2__FASADAI_VERT_PAK_PLAUSAS_2xFAS_2xLENT_DiG_Virtuve_2_2"/>
    <m/>
    <s v="Edgeband1"/>
    <x v="0"/>
    <x v="0"/>
    <x v="0"/>
    <n v="497"/>
    <n v="1"/>
    <n v="1"/>
    <n v="0.497"/>
    <x v="0"/>
    <n v="0.74550000000000005"/>
  </r>
  <r>
    <m/>
    <s v="FASADAS2__FASADAI_VERT_PAK_PLAUSAS_2xFAS_2xLENT_DiG_Virtuve_2_2"/>
    <m/>
    <s v="Edgeband2"/>
    <x v="0"/>
    <x v="0"/>
    <x v="0"/>
    <n v="497"/>
    <n v="1"/>
    <n v="1"/>
    <n v="0.497"/>
    <x v="0"/>
    <n v="0.74550000000000005"/>
  </r>
  <r>
    <m/>
    <s v="FASADAS2__FASADAI_VERT_PAK_PLAUSAS_2xFAS_2xLENT_DiG_Virtuve_2_2"/>
    <m/>
    <s v="Edgeband4"/>
    <x v="0"/>
    <x v="0"/>
    <x v="0"/>
    <n v="837"/>
    <n v="1"/>
    <n v="1"/>
    <n v="0.83699999999999997"/>
    <x v="0"/>
    <n v="1.2555000000000001"/>
  </r>
  <r>
    <m/>
    <s v="FASADAS2__FASADAI_VERT_PAK_PLAUSAS_2xFAS_2xLENT_DiG_Virtuve_2_2"/>
    <m/>
    <s v="Edgeband3"/>
    <x v="0"/>
    <x v="0"/>
    <x v="0"/>
    <n v="837"/>
    <n v="1"/>
    <n v="1"/>
    <n v="0.83699999999999997"/>
    <x v="0"/>
    <n v="1.2555000000000001"/>
  </r>
  <r>
    <m/>
    <s v="FASADAS1_FASADAI_VERT_PAK_PLAUSAS_2xFAS_2xLENT_DiG_Virtuve_2_2"/>
    <m/>
    <s v="Edgeband1"/>
    <x v="0"/>
    <x v="0"/>
    <x v="0"/>
    <n v="497"/>
    <n v="1"/>
    <n v="1"/>
    <n v="0.497"/>
    <x v="0"/>
    <n v="0.74550000000000005"/>
  </r>
  <r>
    <m/>
    <s v="FASADAS1_FASADAI_VERT_PAK_PLAUSAS_2xFAS_2xLENT_DiG_Virtuve_2_2"/>
    <m/>
    <s v="Edgeband2"/>
    <x v="0"/>
    <x v="0"/>
    <x v="0"/>
    <n v="497"/>
    <n v="1"/>
    <n v="1"/>
    <n v="0.497"/>
    <x v="0"/>
    <n v="0.74550000000000005"/>
  </r>
  <r>
    <m/>
    <s v="FASADAS1_FASADAI_VERT_PAK_PLAUSAS_2xFAS_2xLENT_DiG_Virtuve_2_2"/>
    <m/>
    <s v="Edgeband4"/>
    <x v="0"/>
    <x v="0"/>
    <x v="0"/>
    <n v="837"/>
    <n v="1"/>
    <n v="1"/>
    <n v="0.83699999999999997"/>
    <x v="0"/>
    <n v="1.2555000000000001"/>
  </r>
  <r>
    <m/>
    <s v="FASADAS1_FASADAI_VERT_PAK_PLAUSAS_2xFAS_2xLENT_DiG_Virtuve_2_2"/>
    <m/>
    <s v="Edgeband3"/>
    <x v="0"/>
    <x v="0"/>
    <x v="0"/>
    <n v="837"/>
    <n v="1"/>
    <n v="1"/>
    <n v="0.83699999999999997"/>
    <x v="0"/>
    <n v="1.2555000000000001"/>
  </r>
  <r>
    <m/>
    <s v="FASADAS1_FASADAI_VERT_PAK_PLAUSAS_2xFAS_2xLENT_DiG_Virtuve_1_2"/>
    <m/>
    <s v="Edgeband1"/>
    <x v="0"/>
    <x v="0"/>
    <x v="0"/>
    <n v="496.5"/>
    <n v="1"/>
    <n v="1"/>
    <n v="0.4965"/>
    <x v="0"/>
    <n v="0.74475000000000002"/>
  </r>
  <r>
    <m/>
    <s v="FASADAS1_FASADAI_VERT_PAK_PLAUSAS_2xFAS_2xLENT_DiG_Virtuve_1_2"/>
    <m/>
    <s v="Edgeband2"/>
    <x v="0"/>
    <x v="0"/>
    <x v="0"/>
    <n v="496.5"/>
    <n v="1"/>
    <n v="1"/>
    <n v="0.4965"/>
    <x v="0"/>
    <n v="0.74475000000000002"/>
  </r>
  <r>
    <m/>
    <s v="FASADAS1_FASADAI_VERT_PAK_PLAUSAS_2xFAS_2xLENT_DiG_Virtuve_1_2"/>
    <m/>
    <s v="Edgeband4"/>
    <x v="0"/>
    <x v="0"/>
    <x v="0"/>
    <n v="837"/>
    <n v="1"/>
    <n v="1"/>
    <n v="0.83699999999999997"/>
    <x v="0"/>
    <n v="1.2555000000000001"/>
  </r>
  <r>
    <m/>
    <s v="FASADAS1_FASADAI_VERT_PAK_PLAUSAS_2xFAS_2xLENT_DiG_Virtuve_1_2"/>
    <m/>
    <s v="Edgeband3"/>
    <x v="0"/>
    <x v="0"/>
    <x v="0"/>
    <n v="837"/>
    <n v="1"/>
    <n v="1"/>
    <n v="0.83699999999999997"/>
    <x v="0"/>
    <n v="1.2555000000000001"/>
  </r>
  <r>
    <m/>
    <s v="FASADAS2__FASADAI_VERT_PAK_PLAUSAS_2xFAS_2xLENT_DiG_Virtuve_1_2"/>
    <m/>
    <s v="Edgeband1"/>
    <x v="0"/>
    <x v="0"/>
    <x v="0"/>
    <n v="496.5"/>
    <n v="1"/>
    <n v="1"/>
    <n v="0.4965"/>
    <x v="0"/>
    <n v="0.74475000000000002"/>
  </r>
  <r>
    <m/>
    <s v="FASADAS2__FASADAI_VERT_PAK_PLAUSAS_2xFAS_2xLENT_DiG_Virtuve_1_2"/>
    <m/>
    <s v="Edgeband2"/>
    <x v="0"/>
    <x v="0"/>
    <x v="0"/>
    <n v="496.5"/>
    <n v="1"/>
    <n v="1"/>
    <n v="0.4965"/>
    <x v="0"/>
    <n v="0.74475000000000002"/>
  </r>
  <r>
    <m/>
    <s v="FASADAS2__FASADAI_VERT_PAK_PLAUSAS_2xFAS_2xLENT_DiG_Virtuve_1_2"/>
    <m/>
    <s v="Edgeband4"/>
    <x v="0"/>
    <x v="0"/>
    <x v="0"/>
    <n v="837"/>
    <n v="1"/>
    <n v="1"/>
    <n v="0.83699999999999997"/>
    <x v="0"/>
    <n v="1.2555000000000001"/>
  </r>
  <r>
    <m/>
    <s v="FASADAS2__FASADAI_VERT_PAK_PLAUSAS_2xFAS_2xLENT_DiG_Virtuve_1_2"/>
    <m/>
    <s v="Edgeband3"/>
    <x v="0"/>
    <x v="0"/>
    <x v="0"/>
    <n v="837"/>
    <n v="1"/>
    <n v="1"/>
    <n v="0.83699999999999997"/>
    <x v="0"/>
    <n v="1.2555000000000001"/>
  </r>
  <r>
    <m/>
    <s v="IMITACIJA_DiG_Virtuve"/>
    <m/>
    <s v="Edgeband1"/>
    <x v="0"/>
    <x v="0"/>
    <x v="0"/>
    <n v="837"/>
    <n v="1"/>
    <n v="1"/>
    <n v="0.83699999999999997"/>
    <x v="0"/>
    <n v="1.2555000000000001"/>
  </r>
  <r>
    <m/>
    <s v="IMITACIJA_DiG_Virtuve"/>
    <m/>
    <s v="Edgeband3"/>
    <x v="0"/>
    <x v="0"/>
    <x v="0"/>
    <n v="837"/>
    <n v="1"/>
    <n v="1"/>
    <n v="0.83699999999999997"/>
    <x v="0"/>
    <n v="1.2555000000000001"/>
  </r>
  <r>
    <m/>
    <s v="IMITACIJA_DiG_Virtuve"/>
    <m/>
    <s v="Edgeband2"/>
    <x v="0"/>
    <x v="0"/>
    <x v="0"/>
    <n v="126"/>
    <n v="1"/>
    <n v="1"/>
    <n v="0.126"/>
    <x v="0"/>
    <n v="0.189"/>
  </r>
  <r>
    <m/>
    <s v="IMITACIJA_DiG_Virtuve"/>
    <m/>
    <s v="Edgeband4"/>
    <x v="0"/>
    <x v="0"/>
    <x v="0"/>
    <n v="126"/>
    <n v="1"/>
    <n v="1"/>
    <n v="0.126"/>
    <x v="0"/>
    <n v="0.189"/>
  </r>
  <r>
    <m/>
    <s v="NUGARA_1_DiG_Virtuve"/>
    <m/>
    <s v="Edgeband2"/>
    <x v="0"/>
    <x v="0"/>
    <x v="0"/>
    <n v="638"/>
    <n v="1"/>
    <n v="1"/>
    <n v="0.63800000000000001"/>
    <x v="0"/>
    <n v="0.95700000000000007"/>
  </r>
  <r>
    <m/>
    <s v="NUGARA_1_DiG_Virtuve"/>
    <m/>
    <s v="Edgeband4"/>
    <x v="0"/>
    <x v="0"/>
    <x v="0"/>
    <n v="638"/>
    <n v="1"/>
    <n v="1"/>
    <n v="0.63800000000000001"/>
    <x v="0"/>
    <n v="0.95700000000000007"/>
  </r>
  <r>
    <m/>
    <s v="DESINE_1_DiG_Virtuve"/>
    <m/>
    <s v="Edgeband2"/>
    <x v="0"/>
    <x v="0"/>
    <x v="0"/>
    <n v="638"/>
    <n v="1"/>
    <n v="1"/>
    <n v="0.63800000000000001"/>
    <x v="0"/>
    <n v="0.95700000000000007"/>
  </r>
  <r>
    <m/>
    <s v="KAIRE_DiG_Virtuve"/>
    <m/>
    <s v="Edgeband4"/>
    <x v="0"/>
    <x v="0"/>
    <x v="0"/>
    <n v="638"/>
    <n v="1"/>
    <n v="1"/>
    <n v="0.63800000000000001"/>
    <x v="0"/>
    <n v="0.95700000000000007"/>
  </r>
  <r>
    <m/>
    <s v="FASADAS1_FASADAI_VERT_KRIAUKLE_FAS_DiG_Virtuve_2_1"/>
    <m/>
    <s v="Edgeband4"/>
    <x v="0"/>
    <x v="0"/>
    <x v="0"/>
    <n v="757"/>
    <n v="1"/>
    <n v="1"/>
    <n v="0.75700000000000001"/>
    <x v="0"/>
    <n v="1.1355"/>
  </r>
  <r>
    <m/>
    <s v="FASADAS1_FASADAI_VERT_KRIAUKLE_FAS_DiG_Virtuve_2_1"/>
    <m/>
    <s v="Edgeband3"/>
    <x v="0"/>
    <x v="0"/>
    <x v="0"/>
    <n v="757"/>
    <n v="1"/>
    <n v="1"/>
    <n v="0.75700000000000001"/>
    <x v="0"/>
    <n v="1.1355"/>
  </r>
  <r>
    <m/>
    <s v="FASADAS1_FASADAI_VERT_KRIAUKLE_FAS_DiG_Virtuve_2_1"/>
    <m/>
    <s v="Edgeband2"/>
    <x v="0"/>
    <x v="0"/>
    <x v="0"/>
    <n v="597"/>
    <n v="1"/>
    <n v="1"/>
    <n v="0.59699999999999998"/>
    <x v="0"/>
    <n v="0.89549999999999996"/>
  </r>
  <r>
    <m/>
    <s v="FASADAS1_FASADAI_VERT_KRIAUKLE_FAS_DiG_Virtuve_2_1"/>
    <m/>
    <s v="Edgeband1"/>
    <x v="0"/>
    <x v="0"/>
    <x v="0"/>
    <n v="597"/>
    <n v="1"/>
    <n v="1"/>
    <n v="0.59699999999999998"/>
    <x v="0"/>
    <n v="0.89549999999999996"/>
  </r>
  <r>
    <m/>
    <s v="FASADAS1_FASADAI_VERT_PAS_FAS_LAISVA_DiG_Virtuve_1_1"/>
    <m/>
    <s v="Edgeband4"/>
    <x v="0"/>
    <x v="0"/>
    <x v="0"/>
    <n v="757"/>
    <n v="1"/>
    <n v="1"/>
    <n v="0.75700000000000001"/>
    <x v="0"/>
    <n v="1.1355"/>
  </r>
  <r>
    <m/>
    <s v="FASADAS1_FASADAI_VERT_PAS_FAS_LAISVA_DiG_Virtuve_1_1"/>
    <m/>
    <s v="Edgeband3"/>
    <x v="0"/>
    <x v="0"/>
    <x v="0"/>
    <n v="757"/>
    <n v="1"/>
    <n v="1"/>
    <n v="0.75700000000000001"/>
    <x v="0"/>
    <n v="1.1355"/>
  </r>
  <r>
    <m/>
    <s v="FASADAS1_FASADAI_VERT_PAS_FAS_LAISVA_DiG_Virtuve_1_1"/>
    <m/>
    <s v="Edgeband2"/>
    <x v="0"/>
    <x v="0"/>
    <x v="0"/>
    <n v="597"/>
    <n v="1"/>
    <n v="1"/>
    <n v="0.59699999999999998"/>
    <x v="0"/>
    <n v="0.89549999999999996"/>
  </r>
  <r>
    <m/>
    <s v="FASADAS1_FASADAI_VERT_PAS_FAS_LAISVA_DiG_Virtuve_1_1"/>
    <m/>
    <s v="Edgeband1"/>
    <x v="0"/>
    <x v="0"/>
    <x v="0"/>
    <n v="597"/>
    <n v="1"/>
    <n v="1"/>
    <n v="0.59699999999999998"/>
    <x v="0"/>
    <n v="0.89549999999999996"/>
  </r>
  <r>
    <m/>
    <s v="FASADAS1_FASADAI_VERT_PAS_FAS_LAISVA_DiG_Virtuve_2_1"/>
    <m/>
    <s v="Edgeband4"/>
    <x v="0"/>
    <x v="0"/>
    <x v="0"/>
    <n v="757"/>
    <n v="1"/>
    <n v="1"/>
    <n v="0.75700000000000001"/>
    <x v="0"/>
    <n v="1.1355"/>
  </r>
  <r>
    <m/>
    <s v="FASADAS1_FASADAI_VERT_PAS_FAS_LAISVA_DiG_Virtuve_2_1"/>
    <m/>
    <s v="Edgeband3"/>
    <x v="0"/>
    <x v="0"/>
    <x v="0"/>
    <n v="757"/>
    <n v="1"/>
    <n v="1"/>
    <n v="0.75700000000000001"/>
    <x v="0"/>
    <n v="1.1355"/>
  </r>
  <r>
    <m/>
    <s v="FASADAS1_FASADAI_VERT_PAS_FAS_LAISVA_DiG_Virtuve_2_1"/>
    <m/>
    <s v="Edgeband2"/>
    <x v="0"/>
    <x v="0"/>
    <x v="0"/>
    <n v="597"/>
    <n v="1"/>
    <n v="1"/>
    <n v="0.59699999999999998"/>
    <x v="0"/>
    <n v="0.89549999999999996"/>
  </r>
  <r>
    <m/>
    <s v="FASADAS1_FASADAI_VERT_PAS_FAS_LAISVA_DiG_Virtuve_2_1"/>
    <m/>
    <s v="Edgeband1"/>
    <x v="0"/>
    <x v="0"/>
    <x v="0"/>
    <n v="597"/>
    <n v="1"/>
    <n v="1"/>
    <n v="0.59699999999999998"/>
    <x v="0"/>
    <n v="0.89549999999999996"/>
  </r>
  <r>
    <m/>
    <s v="FASADAS1_FASADAI_VERT_CARGO_DiG_Virtuve_1_2"/>
    <m/>
    <s v="Edgeband4"/>
    <x v="0"/>
    <x v="0"/>
    <x v="0"/>
    <n v="757"/>
    <n v="1"/>
    <n v="1"/>
    <n v="0.75700000000000001"/>
    <x v="0"/>
    <n v="1.1355"/>
  </r>
  <r>
    <m/>
    <s v="FASADAS1_FASADAI_VERT_CARGO_DiG_Virtuve_1_2"/>
    <m/>
    <s v="Edgeband3"/>
    <x v="0"/>
    <x v="0"/>
    <x v="0"/>
    <n v="757"/>
    <n v="1"/>
    <n v="1"/>
    <n v="0.75700000000000001"/>
    <x v="0"/>
    <n v="1.1355"/>
  </r>
  <r>
    <m/>
    <s v="FASADAS1_FASADAI_VERT_CARGO_DiG_Virtuve_1_2"/>
    <m/>
    <s v="Edgeband2"/>
    <x v="0"/>
    <x v="0"/>
    <x v="0"/>
    <n v="235"/>
    <n v="1"/>
    <n v="1"/>
    <n v="0.23499999999999999"/>
    <x v="0"/>
    <n v="0.35249999999999998"/>
  </r>
  <r>
    <m/>
    <s v="FASADAS1_FASADAI_VERT_CARGO_DiG_Virtuve_1_2"/>
    <m/>
    <s v="Edgeband1"/>
    <x v="0"/>
    <x v="0"/>
    <x v="0"/>
    <n v="235"/>
    <n v="1"/>
    <n v="1"/>
    <n v="0.23499999999999999"/>
    <x v="0"/>
    <n v="0.35249999999999998"/>
  </r>
  <r>
    <m/>
    <s v="FASADAS1_FASADAI_HOR_ORKAITE_TBOX_DiG_Virtuve_1_1"/>
    <m/>
    <s v="Edgeband1"/>
    <x v="0"/>
    <x v="0"/>
    <x v="0"/>
    <n v="159"/>
    <n v="1"/>
    <n v="1"/>
    <n v="0.159"/>
    <x v="0"/>
    <n v="0.23849999999999999"/>
  </r>
  <r>
    <m/>
    <s v="FASADAS1_FASADAI_HOR_ORKAITE_TBOX_DiG_Virtuve_1_1"/>
    <m/>
    <s v="Edgeband2"/>
    <x v="0"/>
    <x v="0"/>
    <x v="0"/>
    <n v="159"/>
    <n v="1"/>
    <n v="1"/>
    <n v="0.159"/>
    <x v="0"/>
    <n v="0.23849999999999999"/>
  </r>
  <r>
    <m/>
    <s v="FASADAS1_FASADAI_HOR_ORKAITE_TBOX_DiG_Virtuve_1_1"/>
    <m/>
    <s v="Edgeband4"/>
    <x v="0"/>
    <x v="0"/>
    <x v="0"/>
    <n v="596"/>
    <n v="1"/>
    <n v="1"/>
    <n v="0.59599999999999997"/>
    <x v="0"/>
    <n v="0.89399999999999991"/>
  </r>
  <r>
    <m/>
    <s v="FASADAS1_FASADAI_HOR_ORKAITE_TBOX_DiG_Virtuve_1_1"/>
    <m/>
    <s v="Edgeband3"/>
    <x v="0"/>
    <x v="0"/>
    <x v="0"/>
    <n v="596"/>
    <n v="1"/>
    <n v="1"/>
    <n v="0.59599999999999997"/>
    <x v="0"/>
    <n v="0.89399999999999991"/>
  </r>
  <r>
    <m/>
    <s v="FASADAS3_FASADAI_HOR_PAS_KAIT_4xT_BOX_DiG_Virtuve_1_1"/>
    <m/>
    <s v="Edgeband1"/>
    <x v="0"/>
    <x v="0"/>
    <x v="0"/>
    <n v="212"/>
    <n v="1"/>
    <n v="1"/>
    <n v="0.21199999999999999"/>
    <x v="0"/>
    <n v="0.318"/>
  </r>
  <r>
    <m/>
    <s v="FASADAS3_FASADAI_HOR_PAS_KAIT_4xT_BOX_DiG_Virtuve_1_1"/>
    <m/>
    <s v="Edgeband2"/>
    <x v="0"/>
    <x v="0"/>
    <x v="0"/>
    <n v="212"/>
    <n v="1"/>
    <n v="1"/>
    <n v="0.21199999999999999"/>
    <x v="0"/>
    <n v="0.318"/>
  </r>
  <r>
    <m/>
    <s v="FASADAS3_FASADAI_HOR_PAS_KAIT_4xT_BOX_DiG_Virtuve_1_1"/>
    <m/>
    <s v="Edgeband4"/>
    <x v="0"/>
    <x v="0"/>
    <x v="0"/>
    <n v="397"/>
    <n v="1"/>
    <n v="1"/>
    <n v="0.39700000000000002"/>
    <x v="0"/>
    <n v="0.59550000000000003"/>
  </r>
  <r>
    <m/>
    <s v="FASADAS3_FASADAI_HOR_PAS_KAIT_4xT_BOX_DiG_Virtuve_1_1"/>
    <m/>
    <s v="Edgeband3"/>
    <x v="0"/>
    <x v="0"/>
    <x v="0"/>
    <n v="397"/>
    <n v="1"/>
    <n v="1"/>
    <n v="0.39700000000000002"/>
    <x v="0"/>
    <n v="0.59550000000000003"/>
  </r>
  <r>
    <m/>
    <s v="FASADAS1_FASADAI_HOR_PAS_KAIT_4xT_BOX_DiG_Virtuve_1_1"/>
    <m/>
    <s v="Edgeband1"/>
    <x v="0"/>
    <x v="0"/>
    <x v="0"/>
    <n v="212"/>
    <n v="1"/>
    <n v="1"/>
    <n v="0.21199999999999999"/>
    <x v="0"/>
    <n v="0.318"/>
  </r>
  <r>
    <m/>
    <s v="FASADAS1_FASADAI_HOR_PAS_KAIT_4xT_BOX_DiG_Virtuve_1_1"/>
    <m/>
    <s v="Edgeband2"/>
    <x v="0"/>
    <x v="0"/>
    <x v="0"/>
    <n v="212"/>
    <n v="1"/>
    <n v="1"/>
    <n v="0.21199999999999999"/>
    <x v="0"/>
    <n v="0.318"/>
  </r>
  <r>
    <m/>
    <s v="FASADAS1_FASADAI_HOR_PAS_KAIT_4xT_BOX_DiG_Virtuve_1_1"/>
    <m/>
    <s v="Edgeband4"/>
    <x v="0"/>
    <x v="0"/>
    <x v="0"/>
    <n v="397"/>
    <n v="1"/>
    <n v="1"/>
    <n v="0.39700000000000002"/>
    <x v="0"/>
    <n v="0.59550000000000003"/>
  </r>
  <r>
    <m/>
    <s v="FASADAS1_FASADAI_HOR_PAS_KAIT_4xT_BOX_DiG_Virtuve_1_1"/>
    <m/>
    <s v="Edgeband3"/>
    <x v="0"/>
    <x v="0"/>
    <x v="0"/>
    <n v="397"/>
    <n v="1"/>
    <n v="1"/>
    <n v="0.39700000000000002"/>
    <x v="0"/>
    <n v="0.59550000000000003"/>
  </r>
  <r>
    <m/>
    <s v="FASADAS2_FASADAI_HOR_PAS_KAIT_4xT_BOX_DiG_Virtuve_1_1"/>
    <m/>
    <s v="Edgeband1"/>
    <x v="0"/>
    <x v="0"/>
    <x v="0"/>
    <n v="212"/>
    <n v="1"/>
    <n v="1"/>
    <n v="0.21199999999999999"/>
    <x v="0"/>
    <n v="0.318"/>
  </r>
  <r>
    <m/>
    <s v="FASADAS2_FASADAI_HOR_PAS_KAIT_4xT_BOX_DiG_Virtuve_1_1"/>
    <m/>
    <s v="Edgeband2"/>
    <x v="0"/>
    <x v="0"/>
    <x v="0"/>
    <n v="212"/>
    <n v="1"/>
    <n v="1"/>
    <n v="0.21199999999999999"/>
    <x v="0"/>
    <n v="0.318"/>
  </r>
  <r>
    <m/>
    <s v="FASADAS2_FASADAI_HOR_PAS_KAIT_4xT_BOX_DiG_Virtuve_1_1"/>
    <m/>
    <s v="Edgeband4"/>
    <x v="0"/>
    <x v="0"/>
    <x v="0"/>
    <n v="397"/>
    <n v="1"/>
    <n v="1"/>
    <n v="0.39700000000000002"/>
    <x v="0"/>
    <n v="0.59550000000000003"/>
  </r>
  <r>
    <m/>
    <s v="FASADAS2_FASADAI_HOR_PAS_KAIT_4xT_BOX_DiG_Virtuve_1_1"/>
    <m/>
    <s v="Edgeband3"/>
    <x v="0"/>
    <x v="0"/>
    <x v="0"/>
    <n v="397"/>
    <n v="1"/>
    <n v="1"/>
    <n v="0.39700000000000002"/>
    <x v="0"/>
    <n v="0.59550000000000003"/>
  </r>
  <r>
    <m/>
    <s v="FASADAS4_FASADAI_HOR_PAS_KAIT_4xT_BOX_DiG_Virtuve_1_1"/>
    <m/>
    <s v="Edgeband1"/>
    <x v="0"/>
    <x v="0"/>
    <x v="0"/>
    <n v="112"/>
    <n v="1"/>
    <n v="1"/>
    <n v="0.112"/>
    <x v="0"/>
    <n v="0.16800000000000001"/>
  </r>
  <r>
    <m/>
    <s v="FASADAS4_FASADAI_HOR_PAS_KAIT_4xT_BOX_DiG_Virtuve_1_1"/>
    <m/>
    <s v="Edgeband2"/>
    <x v="0"/>
    <x v="0"/>
    <x v="0"/>
    <n v="112"/>
    <n v="1"/>
    <n v="1"/>
    <n v="0.112"/>
    <x v="0"/>
    <n v="0.16800000000000001"/>
  </r>
  <r>
    <m/>
    <s v="FASADAS4_FASADAI_HOR_PAS_KAIT_4xT_BOX_DiG_Virtuve_1_1"/>
    <m/>
    <s v="Edgeband4"/>
    <x v="0"/>
    <x v="0"/>
    <x v="0"/>
    <n v="397"/>
    <n v="1"/>
    <n v="1"/>
    <n v="0.39700000000000002"/>
    <x v="0"/>
    <n v="0.59550000000000003"/>
  </r>
  <r>
    <m/>
    <s v="FASADAS4_FASADAI_HOR_PAS_KAIT_4xT_BOX_DiG_Virtuve_1_1"/>
    <m/>
    <s v="Edgeband3"/>
    <x v="0"/>
    <x v="0"/>
    <x v="0"/>
    <n v="397"/>
    <n v="1"/>
    <n v="1"/>
    <n v="0.39700000000000002"/>
    <x v="0"/>
    <n v="0.59550000000000003"/>
  </r>
  <r>
    <m/>
    <s v="IMITACIJA_KRIAUKLE_FAS_DiG_Virtuve_2"/>
    <m/>
    <s v="Edgeband4"/>
    <x v="0"/>
    <x v="0"/>
    <x v="0"/>
    <n v="800"/>
    <n v="1"/>
    <n v="1"/>
    <n v="0.8"/>
    <x v="0"/>
    <n v="1.2000000000000002"/>
  </r>
  <r>
    <m/>
    <s v="IMITACIJA_KRIAUKLE_FAS_DiG_Virtuve_2"/>
    <m/>
    <s v="Edgeband2"/>
    <x v="0"/>
    <x v="0"/>
    <x v="0"/>
    <n v="800"/>
    <n v="1"/>
    <n v="1"/>
    <n v="0.8"/>
    <x v="0"/>
    <n v="1.2000000000000002"/>
  </r>
  <r>
    <m/>
    <s v="IMITACIJA_KRIAUKLE_FAS_DiG_Virtuve_2"/>
    <m/>
    <s v="Edgeband1"/>
    <x v="0"/>
    <x v="0"/>
    <x v="0"/>
    <n v="126"/>
    <n v="1"/>
    <n v="1"/>
    <n v="0.126"/>
    <x v="0"/>
    <n v="0.189"/>
  </r>
  <r>
    <m/>
    <s v="IMITACIJA_KRIAUKLE_FAS_DiG_Virtuve_2"/>
    <m/>
    <s v="Edgeband3"/>
    <x v="0"/>
    <x v="0"/>
    <x v="0"/>
    <n v="126"/>
    <n v="1"/>
    <n v="1"/>
    <n v="0.126"/>
    <x v="0"/>
    <n v="0.189"/>
  </r>
  <r>
    <m/>
    <s v="DESINE_DiG_Virtuve"/>
    <m/>
    <s v="Edgeband1"/>
    <x v="0"/>
    <x v="0"/>
    <x v="0"/>
    <n v="100"/>
    <n v="1"/>
    <n v="1"/>
    <n v="0.1"/>
    <x v="0"/>
    <n v="0.15000000000000002"/>
  </r>
  <r>
    <m/>
    <s v="DESINE_DiG_Virtuve"/>
    <m/>
    <s v="Edgeband3"/>
    <x v="0"/>
    <x v="0"/>
    <x v="0"/>
    <n v="100"/>
    <n v="1"/>
    <n v="1"/>
    <n v="0.1"/>
    <x v="0"/>
    <n v="0.15000000000000002"/>
  </r>
  <r>
    <m/>
    <s v="DESINE_DiG_Virtuve"/>
    <m/>
    <s v="Edgeband2"/>
    <x v="0"/>
    <x v="0"/>
    <x v="0"/>
    <n v="762"/>
    <n v="1"/>
    <n v="1"/>
    <n v="0.76200000000000001"/>
    <x v="0"/>
    <n v="1.143"/>
  </r>
  <r>
    <m/>
    <s v="DESINE_DiG_Virtuve"/>
    <m/>
    <s v="Edgeband4"/>
    <x v="0"/>
    <x v="0"/>
    <x v="0"/>
    <n v="762"/>
    <n v="1"/>
    <n v="1"/>
    <n v="0.76200000000000001"/>
    <x v="0"/>
    <n v="1.143"/>
  </r>
  <r>
    <m/>
    <s v="PLINTUSAS_DiG_Virtuve"/>
    <m/>
    <s v="Edgeband1"/>
    <x v="0"/>
    <x v="0"/>
    <x v="0"/>
    <n v="90"/>
    <n v="1"/>
    <n v="1"/>
    <n v="0.09"/>
    <x v="0"/>
    <n v="0.13500000000000001"/>
  </r>
  <r>
    <m/>
    <s v="PLINTUSAS_DiG_Virtuve"/>
    <m/>
    <s v="Edgeband3"/>
    <x v="0"/>
    <x v="0"/>
    <x v="0"/>
    <n v="90"/>
    <n v="1"/>
    <n v="1"/>
    <n v="0.09"/>
    <x v="0"/>
    <n v="0.13500000000000001"/>
  </r>
  <r>
    <m/>
    <s v="PLINTUSAS_DiG_Virtuve"/>
    <m/>
    <s v="Edgeband2"/>
    <x v="0"/>
    <x v="0"/>
    <x v="0"/>
    <n v="3187"/>
    <n v="1"/>
    <n v="1"/>
    <n v="3.1869999999999998"/>
    <x v="0"/>
    <n v="4.7805"/>
  </r>
  <r>
    <m/>
    <s v="PLINTUSAS_DiG_Virtuve"/>
    <m/>
    <s v="Edgeband4"/>
    <x v="0"/>
    <x v="0"/>
    <x v="0"/>
    <n v="3187"/>
    <n v="1"/>
    <n v="1"/>
    <n v="3.1869999999999998"/>
    <x v="0"/>
    <n v="4.7805"/>
  </r>
  <r>
    <m/>
    <s v="NUGARA_DiG_Virtuve"/>
    <m/>
    <s v="Edgeband1"/>
    <x v="0"/>
    <x v="0"/>
    <x v="0"/>
    <n v="600"/>
    <n v="1"/>
    <n v="1"/>
    <n v="0.6"/>
    <x v="0"/>
    <n v="0.89999999999999991"/>
  </r>
  <r>
    <m/>
    <s v="NUGARA_DiG_Virtuve"/>
    <m/>
    <s v="Edgeband3"/>
    <x v="0"/>
    <x v="0"/>
    <x v="0"/>
    <n v="600"/>
    <n v="1"/>
    <n v="1"/>
    <n v="0.6"/>
    <x v="0"/>
    <n v="0.89999999999999991"/>
  </r>
  <r>
    <m/>
    <s v="NUGARA_DiG_Virtuve"/>
    <m/>
    <s v="Edgeband2"/>
    <x v="0"/>
    <x v="0"/>
    <x v="0"/>
    <n v="2908"/>
    <n v="1"/>
    <n v="1"/>
    <n v="2.9079999999999999"/>
    <x v="0"/>
    <n v="4.3620000000000001"/>
  </r>
  <r>
    <m/>
    <s v="NUGARA_DiG_Virtuve"/>
    <m/>
    <s v="Edgeband4"/>
    <x v="0"/>
    <x v="0"/>
    <x v="0"/>
    <n v="2908"/>
    <n v="1"/>
    <n v="1"/>
    <n v="2.9079999999999999"/>
    <x v="0"/>
    <n v="4.3620000000000001"/>
  </r>
  <r>
    <m/>
    <s v="KAIRE_1_DiG_Virtuve"/>
    <m/>
    <s v="Edgeband1"/>
    <x v="0"/>
    <x v="0"/>
    <x v="0"/>
    <n v="390"/>
    <n v="1"/>
    <n v="1"/>
    <n v="0.39"/>
    <x v="0"/>
    <n v="0.58499999999999996"/>
  </r>
  <r>
    <m/>
    <s v="KAIRE_1_DiG_Virtuve"/>
    <m/>
    <s v="Edgeband3"/>
    <x v="0"/>
    <x v="0"/>
    <x v="0"/>
    <n v="390"/>
    <n v="1"/>
    <n v="1"/>
    <n v="0.39"/>
    <x v="0"/>
    <n v="0.58499999999999996"/>
  </r>
  <r>
    <m/>
    <s v="KAIRE_1_DiG_Virtuve"/>
    <m/>
    <s v="Edgeband2"/>
    <x v="0"/>
    <x v="0"/>
    <x v="0"/>
    <n v="600"/>
    <n v="1"/>
    <n v="1"/>
    <n v="0.6"/>
    <x v="0"/>
    <n v="0.89999999999999991"/>
  </r>
  <r>
    <m/>
    <s v="KAIRE_1_DiG_Virtuve"/>
    <m/>
    <s v="Edgeband4"/>
    <x v="0"/>
    <x v="0"/>
    <x v="0"/>
    <n v="600"/>
    <n v="1"/>
    <n v="1"/>
    <n v="0.6"/>
    <x v="0"/>
    <n v="0.89999999999999991"/>
  </r>
  <r>
    <m/>
    <s v="KAIRE_2_DiG_Virtuve"/>
    <m/>
    <s v="Edgeband1"/>
    <x v="0"/>
    <x v="0"/>
    <x v="0"/>
    <n v="136"/>
    <n v="1"/>
    <n v="1"/>
    <n v="0.13600000000000001"/>
    <x v="0"/>
    <n v="0.20400000000000001"/>
  </r>
  <r>
    <m/>
    <s v="KAIRE_2_DiG_Virtuve"/>
    <m/>
    <s v="Edgeband3"/>
    <x v="0"/>
    <x v="0"/>
    <x v="0"/>
    <n v="136"/>
    <n v="1"/>
    <n v="1"/>
    <n v="0.13600000000000001"/>
    <x v="0"/>
    <n v="0.20400000000000001"/>
  </r>
  <r>
    <m/>
    <s v="KAIRE_2_DiG_Virtuve"/>
    <m/>
    <s v="Edgeband2"/>
    <x v="0"/>
    <x v="0"/>
    <x v="0"/>
    <n v="578"/>
    <n v="1"/>
    <n v="1"/>
    <n v="0.57799999999999996"/>
    <x v="0"/>
    <n v="0.86699999999999999"/>
  </r>
  <r>
    <m/>
    <s v="KAIRE_2_DiG_Virtuve"/>
    <m/>
    <s v="Edgeband4"/>
    <x v="0"/>
    <x v="0"/>
    <x v="0"/>
    <n v="578"/>
    <n v="1"/>
    <n v="1"/>
    <n v="0.57799999999999996"/>
    <x v="0"/>
    <n v="0.86699999999999999"/>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r>
    <m/>
    <m/>
    <m/>
    <m/>
    <x v="2"/>
    <x v="0"/>
    <x v="0"/>
    <m/>
    <m/>
    <m/>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8">
  <r>
    <m/>
    <s v="STALVIRSIS_DiG_Virtuve"/>
    <m/>
    <s v="CORE"/>
    <x v="0"/>
    <x v="0"/>
    <x v="0"/>
    <n v="3190"/>
    <n v="600"/>
    <n v="38"/>
    <n v="1"/>
    <n v="3.19"/>
    <n v="1.9139999999999999"/>
    <n v="7.2732000000000005E-2"/>
    <n v="1.9139999999999999"/>
    <x v="0"/>
    <n v="1"/>
    <x v="0"/>
    <n v="0"/>
  </r>
  <r>
    <m/>
    <s v="DUGNAS_PAK_PL_HOOD_2xLENT_DiG_Virtuve_1"/>
    <m/>
    <s v="CORE"/>
    <x v="1"/>
    <x v="0"/>
    <x v="1"/>
    <n v="1022"/>
    <n v="400"/>
    <n v="18"/>
    <n v="1"/>
    <n v="1.022"/>
    <n v="0.4088"/>
    <n v="7.3584000000000002E-3"/>
    <n v="0.4088"/>
    <x v="0"/>
    <n v="1"/>
    <x v="0"/>
    <n v="0"/>
  </r>
  <r>
    <m/>
    <s v="STOGAS_PAK_PL_HOOD_2xLENT_DiG_Virtuve_1"/>
    <m/>
    <s v="CORE"/>
    <x v="1"/>
    <x v="0"/>
    <x v="1"/>
    <n v="1022"/>
    <n v="400"/>
    <n v="18"/>
    <n v="1"/>
    <n v="1.022"/>
    <n v="0.4088"/>
    <n v="7.3584000000000002E-3"/>
    <n v="0.4088"/>
    <x v="0"/>
    <n v="1"/>
    <x v="0"/>
    <n v="0"/>
  </r>
  <r>
    <m/>
    <s v="GARTRAUKIO_UZDENGIMAS_VIRSUS_PAK_PL_HOOD_2xLENT_DiG_Virtuve_1"/>
    <m/>
    <s v="CORE"/>
    <x v="1"/>
    <x v="0"/>
    <x v="1"/>
    <n v="1022"/>
    <n v="395"/>
    <n v="18"/>
    <n v="1"/>
    <n v="1.022"/>
    <n v="0.40368999999999999"/>
    <n v="7.26642E-3"/>
    <n v="0.40368999999999999"/>
    <x v="0"/>
    <n v="1"/>
    <x v="0"/>
    <n v="0"/>
  </r>
  <r>
    <m/>
    <s v="LENT_LENT_3_HOLES_PAK_PL_HOOD_2xLENT_DiG_Virtuve_1_3"/>
    <m/>
    <s v="CORE"/>
    <x v="1"/>
    <x v="0"/>
    <x v="1"/>
    <n v="1022"/>
    <n v="395"/>
    <n v="18"/>
    <n v="1"/>
    <n v="1.022"/>
    <n v="0.40368999999999999"/>
    <n v="7.26642E-3"/>
    <n v="0.40368999999999999"/>
    <x v="0"/>
    <n v="1"/>
    <x v="0"/>
    <n v="0"/>
  </r>
  <r>
    <m/>
    <s v="STOGAS_PAK_PLAUSAS_2xFAS_2xLENT_DiG_Virtuve_1"/>
    <m/>
    <s v="CORE"/>
    <x v="1"/>
    <x v="0"/>
    <x v="1"/>
    <n v="964"/>
    <n v="397"/>
    <n v="18"/>
    <n v="1"/>
    <n v="0.96399999999999997"/>
    <n v="0.38270799999999999"/>
    <n v="6.8887439999999996E-3"/>
    <n v="0.38270799999999999"/>
    <x v="0"/>
    <n v="1"/>
    <x v="0"/>
    <n v="0"/>
  </r>
  <r>
    <m/>
    <s v="DUGNAS_PAK_PLAUSAS_2xFAS_2xLENT_DiG_Virtuve_1"/>
    <m/>
    <s v="CORE"/>
    <x v="1"/>
    <x v="0"/>
    <x v="1"/>
    <n v="964"/>
    <n v="397"/>
    <n v="18"/>
    <n v="1"/>
    <n v="0.96399999999999997"/>
    <n v="0.38270799999999999"/>
    <n v="6.8887439999999996E-3"/>
    <n v="0.38270799999999999"/>
    <x v="0"/>
    <n v="1"/>
    <x v="0"/>
    <n v="0"/>
  </r>
  <r>
    <m/>
    <s v="STOGAS_PAK_PLAUSAS_2xFAS_2xLENT_DiG_Virtuve_2"/>
    <m/>
    <s v="CORE"/>
    <x v="1"/>
    <x v="0"/>
    <x v="1"/>
    <n v="964"/>
    <n v="397"/>
    <n v="18"/>
    <n v="1"/>
    <n v="0.96399999999999997"/>
    <n v="0.38270799999999999"/>
    <n v="6.8887439999999996E-3"/>
    <n v="0.38270799999999999"/>
    <x v="0"/>
    <n v="1"/>
    <x v="0"/>
    <n v="0"/>
  </r>
  <r>
    <m/>
    <s v="DUGNAS_PAK_PLAUSAS_2xFAS_2xLENT_DiG_Virtuve_2"/>
    <m/>
    <s v="CORE"/>
    <x v="1"/>
    <x v="0"/>
    <x v="1"/>
    <n v="964"/>
    <n v="397"/>
    <n v="18"/>
    <n v="1"/>
    <n v="0.96399999999999997"/>
    <n v="0.38270799999999999"/>
    <n v="6.8887439999999996E-3"/>
    <n v="0.38270799999999999"/>
    <x v="0"/>
    <n v="1"/>
    <x v="0"/>
    <n v="0"/>
  </r>
  <r>
    <m/>
    <s v="KAIRE_PAK_PL_HOOD_2xLENT_DiG_Virtuve_1"/>
    <m/>
    <s v="CORE"/>
    <x v="1"/>
    <x v="0"/>
    <x v="1"/>
    <n v="817"/>
    <n v="400"/>
    <n v="18"/>
    <n v="1"/>
    <n v="0.81699999999999995"/>
    <n v="0.32679999999999998"/>
    <n v="5.8824000000000003E-3"/>
    <n v="0.32679999999999998"/>
    <x v="0"/>
    <n v="1"/>
    <x v="0"/>
    <n v="0"/>
  </r>
  <r>
    <m/>
    <s v="DESINE_PAK_PL_HOOD_2xLENT_DiG_Virtuve_1"/>
    <m/>
    <s v="CORE"/>
    <x v="1"/>
    <x v="0"/>
    <x v="1"/>
    <n v="817"/>
    <n v="400"/>
    <n v="18"/>
    <n v="1"/>
    <n v="0.81699999999999995"/>
    <n v="0.32679999999999998"/>
    <n v="5.8824000000000003E-3"/>
    <n v="0.32679999999999998"/>
    <x v="0"/>
    <n v="1"/>
    <x v="0"/>
    <n v="0"/>
  </r>
  <r>
    <m/>
    <s v="KAIRE_PAK_PLAUSAS_2xFAS_2xLENT_DiG_Virtuve_1"/>
    <m/>
    <s v="CORE"/>
    <x v="1"/>
    <x v="0"/>
    <x v="1"/>
    <n v="817"/>
    <n v="397"/>
    <n v="18"/>
    <n v="1"/>
    <n v="0.81699999999999995"/>
    <n v="0.324349"/>
    <n v="5.8382820000000002E-3"/>
    <n v="0.324349"/>
    <x v="0"/>
    <n v="1"/>
    <x v="0"/>
    <n v="0"/>
  </r>
  <r>
    <m/>
    <s v="DESINE_PAK_PLAUSAS_2xFAS_2xLENT_DiG_Virtuve_1"/>
    <m/>
    <s v="CORE"/>
    <x v="1"/>
    <x v="0"/>
    <x v="1"/>
    <n v="817"/>
    <n v="397"/>
    <n v="18"/>
    <n v="1"/>
    <n v="0.81699999999999995"/>
    <n v="0.324349"/>
    <n v="5.8382820000000002E-3"/>
    <n v="0.324349"/>
    <x v="0"/>
    <n v="1"/>
    <x v="0"/>
    <n v="0"/>
  </r>
  <r>
    <m/>
    <s v="DESINE_PAK_PLAUSAS_2xFAS_2xLENT_DiG_Virtuve_2"/>
    <m/>
    <s v="CORE"/>
    <x v="1"/>
    <x v="0"/>
    <x v="1"/>
    <n v="817"/>
    <n v="397"/>
    <n v="18"/>
    <n v="1"/>
    <n v="0.81699999999999995"/>
    <n v="0.324349"/>
    <n v="5.8382820000000002E-3"/>
    <n v="0.324349"/>
    <x v="0"/>
    <n v="1"/>
    <x v="0"/>
    <n v="0"/>
  </r>
  <r>
    <m/>
    <s v="KAIRE_PAK_PLAUSAS_2xFAS_2xLENT_DiG_Virtuve_2"/>
    <m/>
    <s v="CORE"/>
    <x v="1"/>
    <x v="0"/>
    <x v="1"/>
    <n v="817"/>
    <n v="397"/>
    <n v="18"/>
    <n v="1"/>
    <n v="0.81699999999999995"/>
    <n v="0.324349"/>
    <n v="5.8382820000000002E-3"/>
    <n v="0.324349"/>
    <x v="0"/>
    <n v="1"/>
    <x v="0"/>
    <n v="0"/>
  </r>
  <r>
    <m/>
    <s v="PERTVARA_PAK_PLAUSAS_2xFAS_2xLENT_DiG_Virtuve_1"/>
    <m/>
    <s v="CORE"/>
    <x v="1"/>
    <x v="0"/>
    <x v="1"/>
    <n v="781"/>
    <n v="397"/>
    <n v="18"/>
    <n v="1"/>
    <n v="0.78100000000000003"/>
    <n v="0.31005700000000003"/>
    <n v="5.5810260000000002E-3"/>
    <n v="0.31005700000000003"/>
    <x v="0"/>
    <n v="1"/>
    <x v="0"/>
    <n v="0"/>
  </r>
  <r>
    <m/>
    <s v="PERTVARA_PAK_PLAUSAS_2xFAS_2xLENT_DiG_Virtuve_2"/>
    <m/>
    <s v="CORE"/>
    <x v="1"/>
    <x v="0"/>
    <x v="1"/>
    <n v="781"/>
    <n v="397"/>
    <n v="18"/>
    <n v="1"/>
    <n v="0.78100000000000003"/>
    <n v="0.31005700000000003"/>
    <n v="5.5810260000000002E-3"/>
    <n v="0.31005700000000003"/>
    <x v="0"/>
    <n v="1"/>
    <x v="0"/>
    <n v="0"/>
  </r>
  <r>
    <m/>
    <s v="DONARAS_KRIAUKLE_FAS_DiG_Virtuve_2"/>
    <m/>
    <s v="CORE"/>
    <x v="1"/>
    <x v="0"/>
    <x v="1"/>
    <n v="762"/>
    <n v="50"/>
    <n v="18"/>
    <n v="1"/>
    <n v="0.76200000000000001"/>
    <n v="3.8100000000000002E-2"/>
    <n v="6.8579999999999997E-4"/>
    <n v="3.8100000000000002E-2"/>
    <x v="0"/>
    <n v="1"/>
    <x v="0"/>
    <n v="0"/>
  </r>
  <r>
    <m/>
    <s v="DESINE_ORKAITE_TBOX_DiG_Virtuve_1"/>
    <m/>
    <s v="CORE"/>
    <x v="1"/>
    <x v="0"/>
    <x v="1"/>
    <n v="744"/>
    <n v="560"/>
    <n v="18"/>
    <n v="1"/>
    <n v="0.74399999999999999"/>
    <n v="0.41664000000000001"/>
    <n v="7.49952E-3"/>
    <n v="0.41664000000000001"/>
    <x v="0"/>
    <n v="1"/>
    <x v="0"/>
    <n v="0"/>
  </r>
  <r>
    <m/>
    <s v="KAIRE_ORKAITE_TBOX_DiG_Virtuve_1"/>
    <m/>
    <s v="CORE"/>
    <x v="1"/>
    <x v="0"/>
    <x v="1"/>
    <n v="744"/>
    <n v="560"/>
    <n v="18"/>
    <n v="1"/>
    <n v="0.74399999999999999"/>
    <n v="0.41664000000000001"/>
    <n v="7.49952E-3"/>
    <n v="0.41664000000000001"/>
    <x v="0"/>
    <n v="1"/>
    <x v="0"/>
    <n v="0"/>
  </r>
  <r>
    <m/>
    <s v="DESINE_KRIAUKLE_FAS_DiG_Virtuve_2"/>
    <m/>
    <s v="CORE"/>
    <x v="1"/>
    <x v="0"/>
    <x v="1"/>
    <n v="744"/>
    <n v="560"/>
    <n v="18"/>
    <n v="1"/>
    <n v="0.74399999999999999"/>
    <n v="0.41664000000000001"/>
    <n v="7.49952E-3"/>
    <n v="0.41664000000000001"/>
    <x v="0"/>
    <n v="1"/>
    <x v="0"/>
    <n v="0"/>
  </r>
  <r>
    <m/>
    <s v="KAIRE_KRIAUKLE_FAS_DiG_Virtuve_2"/>
    <m/>
    <s v="CORE"/>
    <x v="1"/>
    <x v="0"/>
    <x v="1"/>
    <n v="744"/>
    <n v="560"/>
    <n v="18"/>
    <n v="1"/>
    <n v="0.74399999999999999"/>
    <n v="0.41664000000000001"/>
    <n v="7.49952E-3"/>
    <n v="0.41664000000000001"/>
    <x v="0"/>
    <n v="1"/>
    <x v="0"/>
    <n v="0"/>
  </r>
  <r>
    <m/>
    <s v="DESINE_PAS_KAIT_4xT_BOX_DiG_Virtuve_1"/>
    <m/>
    <s v="CORE"/>
    <x v="1"/>
    <x v="0"/>
    <x v="1"/>
    <n v="744"/>
    <n v="560"/>
    <n v="18"/>
    <n v="1"/>
    <n v="0.74399999999999999"/>
    <n v="0.41664000000000001"/>
    <n v="7.49952E-3"/>
    <n v="0.41664000000000001"/>
    <x v="0"/>
    <n v="1"/>
    <x v="0"/>
    <n v="0"/>
  </r>
  <r>
    <m/>
    <s v="KAIRE_PAS_KAIT_4xT_BOX_DiG_Virtuve_1"/>
    <m/>
    <s v="CORE"/>
    <x v="1"/>
    <x v="0"/>
    <x v="1"/>
    <n v="744"/>
    <n v="560"/>
    <n v="18"/>
    <n v="1"/>
    <n v="0.74399999999999999"/>
    <n v="0.41664000000000001"/>
    <n v="7.49952E-3"/>
    <n v="0.41664000000000001"/>
    <x v="0"/>
    <n v="1"/>
    <x v="0"/>
    <n v="0"/>
  </r>
  <r>
    <m/>
    <s v="KAIRE_PAS_FAS_LAISVA_DiG_Virtuve_1"/>
    <m/>
    <s v="CORE"/>
    <x v="1"/>
    <x v="0"/>
    <x v="1"/>
    <n v="744"/>
    <n v="560"/>
    <n v="18"/>
    <n v="1"/>
    <n v="0.74399999999999999"/>
    <n v="0.41664000000000001"/>
    <n v="7.49952E-3"/>
    <n v="0.41664000000000001"/>
    <x v="0"/>
    <n v="1"/>
    <x v="0"/>
    <n v="0"/>
  </r>
  <r>
    <m/>
    <s v="DESINE_PAS_FAS_LAISVA_DiG_Virtuve_1"/>
    <m/>
    <s v="CORE"/>
    <x v="1"/>
    <x v="0"/>
    <x v="1"/>
    <n v="744"/>
    <n v="560"/>
    <n v="18"/>
    <n v="1"/>
    <n v="0.74399999999999999"/>
    <n v="0.41664000000000001"/>
    <n v="7.49952E-3"/>
    <n v="0.41664000000000001"/>
    <x v="0"/>
    <n v="1"/>
    <x v="0"/>
    <n v="0"/>
  </r>
  <r>
    <m/>
    <s v="KAIRE_PAS_FAS_LAISVA_DiG_Virtuve_2"/>
    <m/>
    <s v="CORE"/>
    <x v="1"/>
    <x v="0"/>
    <x v="1"/>
    <n v="744"/>
    <n v="560"/>
    <n v="18"/>
    <n v="1"/>
    <n v="0.74399999999999999"/>
    <n v="0.41664000000000001"/>
    <n v="7.49952E-3"/>
    <n v="0.41664000000000001"/>
    <x v="0"/>
    <n v="1"/>
    <x v="0"/>
    <n v="0"/>
  </r>
  <r>
    <m/>
    <s v="DESINE_PAS_FAS_LAISVA_DiG_Virtuve_2"/>
    <m/>
    <s v="CORE"/>
    <x v="1"/>
    <x v="0"/>
    <x v="1"/>
    <n v="744"/>
    <n v="560"/>
    <n v="18"/>
    <n v="1"/>
    <n v="0.74399999999999999"/>
    <n v="0.41664000000000001"/>
    <n v="7.49952E-3"/>
    <n v="0.41664000000000001"/>
    <x v="0"/>
    <n v="1"/>
    <x v="0"/>
    <n v="0"/>
  </r>
  <r>
    <m/>
    <s v="DESINE_CARGO_DiG_Virtuve_1"/>
    <m/>
    <s v="CORE"/>
    <x v="1"/>
    <x v="0"/>
    <x v="1"/>
    <n v="744"/>
    <n v="525"/>
    <n v="18"/>
    <n v="1"/>
    <n v="0.74399999999999999"/>
    <n v="0.3906"/>
    <n v="7.0308000000000002E-3"/>
    <n v="0.3906"/>
    <x v="0"/>
    <n v="1"/>
    <x v="0"/>
    <n v="0"/>
  </r>
  <r>
    <m/>
    <s v="KAIRE_CARGO_DiG_Virtuve_1"/>
    <m/>
    <s v="CORE"/>
    <x v="1"/>
    <x v="0"/>
    <x v="1"/>
    <n v="744"/>
    <n v="525"/>
    <n v="18"/>
    <n v="1"/>
    <n v="0.74399999999999999"/>
    <n v="0.3906"/>
    <n v="7.0308000000000002E-3"/>
    <n v="0.3906"/>
    <x v="0"/>
    <n v="1"/>
    <x v="0"/>
    <n v="0"/>
  </r>
  <r>
    <m/>
    <s v="DUGNAS_PAS_FAS_LAISVA_DiG_Virtuve_1"/>
    <m/>
    <s v="CORE"/>
    <x v="1"/>
    <x v="0"/>
    <x v="1"/>
    <n v="600"/>
    <n v="560"/>
    <n v="18"/>
    <n v="1"/>
    <n v="0.6"/>
    <n v="0.33600000000000002"/>
    <n v="6.0480000000000004E-3"/>
    <n v="0.33600000000000002"/>
    <x v="0"/>
    <n v="1"/>
    <x v="0"/>
    <n v="0"/>
  </r>
  <r>
    <m/>
    <s v="DUGNAS_PAS_FAS_LAISVA_DiG_Virtuve_2"/>
    <m/>
    <s v="CORE"/>
    <x v="1"/>
    <x v="0"/>
    <x v="1"/>
    <n v="600"/>
    <n v="560"/>
    <n v="18"/>
    <n v="1"/>
    <n v="0.6"/>
    <n v="0.33600000000000002"/>
    <n v="6.0480000000000004E-3"/>
    <n v="0.33600000000000002"/>
    <x v="0"/>
    <n v="1"/>
    <x v="0"/>
    <n v="0"/>
  </r>
  <r>
    <m/>
    <s v="DUGNAS_ORKAITE_TBOX_DiG_Virtuve_1"/>
    <m/>
    <s v="CORE"/>
    <x v="1"/>
    <x v="0"/>
    <x v="1"/>
    <n v="600"/>
    <n v="525"/>
    <n v="18"/>
    <n v="1"/>
    <n v="0.6"/>
    <n v="0.315"/>
    <n v="5.6699999999999997E-3"/>
    <n v="0.315"/>
    <x v="0"/>
    <n v="1"/>
    <x v="0"/>
    <n v="0"/>
  </r>
  <r>
    <m/>
    <s v="DUGNAS_KRIAUKLE_FAS_DiG_Virtuve_2"/>
    <m/>
    <s v="CORE"/>
    <x v="1"/>
    <x v="0"/>
    <x v="1"/>
    <n v="600"/>
    <n v="480"/>
    <n v="18"/>
    <n v="1"/>
    <n v="0.6"/>
    <n v="0.28799999999999998"/>
    <n v="5.1840000000000002E-3"/>
    <n v="0.28799999999999998"/>
    <x v="0"/>
    <n v="1"/>
    <x v="0"/>
    <n v="0"/>
  </r>
  <r>
    <m/>
    <s v="LENT_LENT_3_HOLES_KRIAUKLE_FAS_DiG_Virtuve_2_1"/>
    <m/>
    <s v="CORE"/>
    <x v="1"/>
    <x v="0"/>
    <x v="1"/>
    <n v="564"/>
    <n v="555"/>
    <n v="18"/>
    <n v="1"/>
    <n v="0.56399999999999995"/>
    <n v="0.31302000000000002"/>
    <n v="5.6343599999999997E-3"/>
    <n v="0.31302000000000002"/>
    <x v="0"/>
    <n v="1"/>
    <x v="0"/>
    <n v="0"/>
  </r>
  <r>
    <m/>
    <s v="LENT_LENT_3_HOLES_PAS_FAS_LAISVA_DiG_Virtuve_1_1"/>
    <m/>
    <s v="CORE"/>
    <x v="1"/>
    <x v="0"/>
    <x v="1"/>
    <n v="564"/>
    <n v="555"/>
    <n v="18"/>
    <n v="1"/>
    <n v="0.56399999999999995"/>
    <n v="0.31302000000000002"/>
    <n v="5.6343599999999997E-3"/>
    <n v="0.31302000000000002"/>
    <x v="0"/>
    <n v="1"/>
    <x v="0"/>
    <n v="0"/>
  </r>
  <r>
    <m/>
    <s v="LENT_LENT_3_HOLES_PAS_FAS_LAISVA_DiG_Virtuve_2_1"/>
    <m/>
    <s v="CORE"/>
    <x v="1"/>
    <x v="0"/>
    <x v="1"/>
    <n v="564"/>
    <n v="555"/>
    <n v="18"/>
    <n v="1"/>
    <n v="0.56399999999999995"/>
    <n v="0.31302000000000002"/>
    <n v="5.6343599999999997E-3"/>
    <n v="0.31302000000000002"/>
    <x v="0"/>
    <n v="1"/>
    <x v="0"/>
    <n v="0"/>
  </r>
  <r>
    <m/>
    <s v="LENTYNA_ORKAITE_TBOX_DiG_Virtuve_1"/>
    <m/>
    <s v="CORE"/>
    <x v="1"/>
    <x v="0"/>
    <x v="1"/>
    <n v="564"/>
    <n v="525"/>
    <n v="18"/>
    <n v="1"/>
    <n v="0.56399999999999995"/>
    <n v="0.29609999999999997"/>
    <n v="5.3298E-3"/>
    <n v="0.29609999999999997"/>
    <x v="0"/>
    <n v="1"/>
    <x v="0"/>
    <n v="0"/>
  </r>
  <r>
    <m/>
    <s v="NUGARA_ORKAITE_TBOX_DiG_Virtuve_1"/>
    <m/>
    <s v="CORE"/>
    <x v="1"/>
    <x v="0"/>
    <x v="1"/>
    <n v="564"/>
    <n v="126"/>
    <n v="18"/>
    <n v="1"/>
    <n v="0.56399999999999995"/>
    <n v="7.1064000000000002E-2"/>
    <n v="1.279152E-3"/>
    <n v="7.1064000000000002E-2"/>
    <x v="0"/>
    <n v="1"/>
    <x v="0"/>
    <n v="0"/>
  </r>
  <r>
    <m/>
    <s v="SURISIMAS_KRIAUKLE_FAS_DiG_Virtuve_2"/>
    <m/>
    <s v="CORE"/>
    <x v="1"/>
    <x v="0"/>
    <x v="1"/>
    <n v="564"/>
    <n v="100"/>
    <n v="18"/>
    <n v="1"/>
    <n v="0.56399999999999995"/>
    <n v="5.6399999999999999E-2"/>
    <n v="1.0152E-3"/>
    <n v="5.6399999999999999E-2"/>
    <x v="0"/>
    <n v="1"/>
    <x v="0"/>
    <n v="0"/>
  </r>
  <r>
    <m/>
    <s v="SURISIMAS_1_KRIAUKLE_FAS_DiG_Virtuve_2"/>
    <m/>
    <s v="CORE"/>
    <x v="1"/>
    <x v="0"/>
    <x v="1"/>
    <n v="564"/>
    <n v="100"/>
    <n v="18"/>
    <n v="1"/>
    <n v="0.56399999999999995"/>
    <n v="5.6399999999999999E-2"/>
    <n v="1.0152E-3"/>
    <n v="5.6399999999999999E-2"/>
    <x v="0"/>
    <n v="1"/>
    <x v="0"/>
    <n v="0"/>
  </r>
  <r>
    <m/>
    <s v="SURISIMAS_2_KRIAUKLE_FAS_DiG_Virtuve_2"/>
    <m/>
    <s v="CORE"/>
    <x v="1"/>
    <x v="0"/>
    <x v="1"/>
    <n v="564"/>
    <n v="100"/>
    <n v="18"/>
    <n v="1"/>
    <n v="0.56399999999999995"/>
    <n v="5.6399999999999999E-2"/>
    <n v="1.0152E-3"/>
    <n v="5.6399999999999999E-2"/>
    <x v="0"/>
    <n v="1"/>
    <x v="0"/>
    <n v="0"/>
  </r>
  <r>
    <m/>
    <s v="SURISIMAS_1_PAS_FAS_LAISVA_DiG_Virtuve_1"/>
    <m/>
    <s v="CORE"/>
    <x v="1"/>
    <x v="0"/>
    <x v="1"/>
    <n v="564"/>
    <n v="100"/>
    <n v="18"/>
    <n v="1"/>
    <n v="0.56399999999999995"/>
    <n v="5.6399999999999999E-2"/>
    <n v="1.0152E-3"/>
    <n v="5.6399999999999999E-2"/>
    <x v="0"/>
    <n v="1"/>
    <x v="0"/>
    <n v="0"/>
  </r>
  <r>
    <m/>
    <s v="SURISIMAS_PAS_FAS_LAISVA_DiG_Virtuve_1"/>
    <m/>
    <s v="CORE"/>
    <x v="1"/>
    <x v="0"/>
    <x v="1"/>
    <n v="564"/>
    <n v="100"/>
    <n v="18"/>
    <n v="1"/>
    <n v="0.56399999999999995"/>
    <n v="5.6399999999999999E-2"/>
    <n v="1.0152E-3"/>
    <n v="5.6399999999999999E-2"/>
    <x v="0"/>
    <n v="1"/>
    <x v="0"/>
    <n v="0"/>
  </r>
  <r>
    <m/>
    <s v="SURISIMAS_1_PAS_FAS_LAISVA_DiG_Virtuve_2"/>
    <m/>
    <s v="CORE"/>
    <x v="1"/>
    <x v="0"/>
    <x v="1"/>
    <n v="564"/>
    <n v="100"/>
    <n v="18"/>
    <n v="1"/>
    <n v="0.56399999999999995"/>
    <n v="5.6399999999999999E-2"/>
    <n v="1.0152E-3"/>
    <n v="5.6399999999999999E-2"/>
    <x v="0"/>
    <n v="1"/>
    <x v="0"/>
    <n v="0"/>
  </r>
  <r>
    <m/>
    <s v="SURISIMAS_PAS_FAS_LAISVA_DiG_Virtuve_2"/>
    <m/>
    <s v="CORE"/>
    <x v="1"/>
    <x v="0"/>
    <x v="1"/>
    <n v="564"/>
    <n v="100"/>
    <n v="18"/>
    <n v="1"/>
    <n v="0.56399999999999995"/>
    <n v="5.6399999999999999E-2"/>
    <n v="1.0152E-3"/>
    <n v="5.6399999999999999E-2"/>
    <x v="0"/>
    <n v="1"/>
    <x v="0"/>
    <n v="0"/>
  </r>
  <r>
    <m/>
    <s v="GARTRAUKIO_UZDENGIMAS_PRIEKIS_PAK_PL_HOOD_2xLENT_DiG_Virtuve_1"/>
    <m/>
    <s v="CORE"/>
    <x v="1"/>
    <x v="0"/>
    <x v="1"/>
    <n v="540"/>
    <n v="332"/>
    <n v="18"/>
    <n v="1"/>
    <n v="0.54"/>
    <n v="0.17927999999999999"/>
    <n v="3.22704E-3"/>
    <n v="0.17927999999999999"/>
    <x v="0"/>
    <n v="1"/>
    <x v="0"/>
    <n v="0"/>
  </r>
  <r>
    <m/>
    <s v="LENTYNA PAK_LENTYNA PAK_PAK_PLAUSAS_2xFAS_2xLENT_DiG_Virtuve_1_2"/>
    <m/>
    <s v="CORE"/>
    <x v="1"/>
    <x v="0"/>
    <x v="1"/>
    <n v="473"/>
    <n v="392"/>
    <n v="18"/>
    <n v="2"/>
    <n v="0.94599999999999995"/>
    <n v="0.37083199999999999"/>
    <n v="6.674976E-3"/>
    <n v="0.37083199999999999"/>
    <x v="0"/>
    <n v="1"/>
    <x v="0"/>
    <n v="0"/>
  </r>
  <r>
    <m/>
    <s v="LENTYNA PAK_LENTYNA PAK_PAK_PLAUSAS_2xFAS_2xLENT_DiG_Virtuve_1_1"/>
    <m/>
    <s v="CORE"/>
    <x v="1"/>
    <x v="0"/>
    <x v="1"/>
    <n v="473"/>
    <n v="392"/>
    <n v="18"/>
    <n v="2"/>
    <n v="0.94599999999999995"/>
    <n v="0.37083199999999999"/>
    <n v="6.674976E-3"/>
    <n v="0.37083199999999999"/>
    <x v="0"/>
    <n v="1"/>
    <x v="0"/>
    <n v="0"/>
  </r>
  <r>
    <m/>
    <s v="LENTYNA PAK_LENTYNA PAK_PAK_PLAUSAS_2xFAS_2xLENT_DiG_Virtuve_2_1"/>
    <m/>
    <s v="CORE"/>
    <x v="1"/>
    <x v="0"/>
    <x v="1"/>
    <n v="473"/>
    <n v="392"/>
    <n v="18"/>
    <n v="2"/>
    <n v="0.94599999999999995"/>
    <n v="0.37083199999999999"/>
    <n v="6.674976E-3"/>
    <n v="0.37083199999999999"/>
    <x v="0"/>
    <n v="1"/>
    <x v="0"/>
    <n v="0"/>
  </r>
  <r>
    <m/>
    <s v="LENTYNA PAK_LENTYNA PAK_PAK_PLAUSAS_2xFAS_2xLENT_DiG_Virtuve_2_2"/>
    <m/>
    <s v="CORE"/>
    <x v="1"/>
    <x v="0"/>
    <x v="1"/>
    <n v="473"/>
    <n v="392"/>
    <n v="18"/>
    <n v="2"/>
    <n v="0.94599999999999995"/>
    <n v="0.37083199999999999"/>
    <n v="6.674976E-3"/>
    <n v="0.37083199999999999"/>
    <x v="0"/>
    <n v="1"/>
    <x v="0"/>
    <n v="0"/>
  </r>
  <r>
    <m/>
    <s v="DUGNAS_PAS_KAIT_4xT_BOX_DiG_Virtuve_1"/>
    <m/>
    <s v="CORE"/>
    <x v="1"/>
    <x v="0"/>
    <x v="1"/>
    <n v="400"/>
    <n v="510"/>
    <n v="18"/>
    <n v="1"/>
    <n v="0.4"/>
    <n v="0.20399999999999999"/>
    <n v="3.6719999999999999E-3"/>
    <n v="0.20399999999999999"/>
    <x v="0"/>
    <n v="1"/>
    <x v="0"/>
    <n v="0"/>
  </r>
  <r>
    <m/>
    <s v="SURISIMAS_2_PAS_KAIT_4xT_BOX_DiG_Virtuve_1"/>
    <m/>
    <s v="CORE"/>
    <x v="1"/>
    <x v="0"/>
    <x v="1"/>
    <n v="364"/>
    <n v="100"/>
    <n v="18"/>
    <n v="1"/>
    <n v="0.36399999999999999"/>
    <n v="3.6400000000000002E-2"/>
    <n v="6.5519999999999999E-4"/>
    <n v="3.6400000000000002E-2"/>
    <x v="0"/>
    <n v="1"/>
    <x v="0"/>
    <n v="0"/>
  </r>
  <r>
    <m/>
    <s v="SURISIMAS_PAS_KAIT_4xT_BOX_DiG_Virtuve_1"/>
    <m/>
    <s v="CORE"/>
    <x v="1"/>
    <x v="0"/>
    <x v="1"/>
    <n v="364"/>
    <n v="100"/>
    <n v="18"/>
    <n v="1"/>
    <n v="0.36399999999999999"/>
    <n v="3.6400000000000002E-2"/>
    <n v="6.5519999999999999E-4"/>
    <n v="3.6400000000000002E-2"/>
    <x v="0"/>
    <n v="1"/>
    <x v="0"/>
    <n v="0"/>
  </r>
  <r>
    <m/>
    <s v="SURISMAS_PAS_KAIT_4xT_BOX_DiG_Virtuve_1"/>
    <m/>
    <s v="CORE"/>
    <x v="1"/>
    <x v="0"/>
    <x v="1"/>
    <n v="364"/>
    <n v="100"/>
    <n v="18"/>
    <n v="1"/>
    <n v="0.36399999999999999"/>
    <n v="3.6400000000000002E-2"/>
    <n v="6.5519999999999999E-4"/>
    <n v="3.6400000000000002E-2"/>
    <x v="0"/>
    <n v="1"/>
    <x v="0"/>
    <n v="0"/>
  </r>
  <r>
    <m/>
    <s v="GARTRAUKIO_UZDENGIMAS_KAIRE_PAK_PL_HOOD_2xLENT_DiG_Virtuve_1"/>
    <m/>
    <s v="CORE"/>
    <x v="1"/>
    <x v="0"/>
    <x v="1"/>
    <n v="332"/>
    <n v="317"/>
    <n v="18"/>
    <n v="1"/>
    <n v="0.33200000000000002"/>
    <n v="0.105244"/>
    <n v="1.894392E-3"/>
    <n v="0.105244"/>
    <x v="0"/>
    <n v="1"/>
    <x v="0"/>
    <n v="0"/>
  </r>
  <r>
    <m/>
    <s v="GARTRAUKIO_UZDENGIMAS_DESINE_PAK_PL_HOOD_2xLENT_DiG_Virtuve_1"/>
    <m/>
    <s v="CORE"/>
    <x v="1"/>
    <x v="0"/>
    <x v="1"/>
    <n v="332"/>
    <n v="314"/>
    <n v="18"/>
    <n v="1"/>
    <n v="0.33200000000000002"/>
    <n v="0.10424799999999999"/>
    <n v="1.876464E-3"/>
    <n v="0.10424799999999999"/>
    <x v="0"/>
    <n v="1"/>
    <x v="0"/>
    <n v="0"/>
  </r>
  <r>
    <m/>
    <s v="DUGNAS_CARGO_DiG_Virtuve_1"/>
    <m/>
    <s v="CORE"/>
    <x v="1"/>
    <x v="0"/>
    <x v="1"/>
    <n v="238"/>
    <n v="525"/>
    <n v="18"/>
    <n v="1"/>
    <n v="0.23799999999999999"/>
    <n v="0.12495000000000001"/>
    <n v="2.2491E-3"/>
    <n v="0.12495000000000001"/>
    <x v="0"/>
    <n v="1"/>
    <x v="0"/>
    <n v="0"/>
  </r>
  <r>
    <m/>
    <s v="GARTRAUKIO_UZDENGIMAS_11_PAK_PL_HOOD_2xLENT_DiG_Virtuve_1"/>
    <m/>
    <s v="CORE"/>
    <x v="1"/>
    <x v="0"/>
    <x v="1"/>
    <n v="205.5"/>
    <n v="264"/>
    <n v="18"/>
    <n v="1"/>
    <n v="0.20549999999999999"/>
    <n v="5.4252000000000002E-2"/>
    <n v="9.7653599999999996E-4"/>
    <n v="5.4252000000000002E-2"/>
    <x v="0"/>
    <n v="1"/>
    <x v="0"/>
    <n v="0"/>
  </r>
  <r>
    <m/>
    <s v="GARTRAUKIO_UZDENGIMAS_8_PAK_PL_HOOD_2xLENT_DiG_Virtuve_1"/>
    <m/>
    <s v="CORE"/>
    <x v="1"/>
    <x v="0"/>
    <x v="1"/>
    <n v="205.5"/>
    <n v="264"/>
    <n v="18"/>
    <n v="1"/>
    <n v="0.20549999999999999"/>
    <n v="5.4252000000000002E-2"/>
    <n v="9.7653599999999996E-4"/>
    <n v="5.4252000000000002E-2"/>
    <x v="0"/>
    <n v="1"/>
    <x v="0"/>
    <n v="0"/>
  </r>
  <r>
    <m/>
    <s v="GARTRAUKIO_UZDENGIMAS_9_PAK_PL_HOOD_2xLENT_DiG_Virtuve_1"/>
    <m/>
    <s v="CORE"/>
    <x v="1"/>
    <x v="0"/>
    <x v="1"/>
    <n v="205.5"/>
    <n v="261"/>
    <n v="18"/>
    <n v="1"/>
    <n v="0.20549999999999999"/>
    <n v="5.3635500000000003E-2"/>
    <n v="9.6543900000000001E-4"/>
    <n v="5.3635500000000003E-2"/>
    <x v="0"/>
    <n v="1"/>
    <x v="0"/>
    <n v="0"/>
  </r>
  <r>
    <m/>
    <s v="GARTRAUKIO_UZDENGIMAS_10_PAK_PL_HOOD_2xLENT_DiG_Virtuve_1"/>
    <m/>
    <s v="CORE"/>
    <x v="1"/>
    <x v="0"/>
    <x v="1"/>
    <n v="205.5"/>
    <n v="261"/>
    <n v="18"/>
    <n v="1"/>
    <n v="0.20549999999999999"/>
    <n v="5.3635500000000003E-2"/>
    <n v="9.6543900000000001E-4"/>
    <n v="5.3635500000000003E-2"/>
    <x v="0"/>
    <n v="1"/>
    <x v="0"/>
    <n v="0"/>
  </r>
  <r>
    <m/>
    <s v="SURISIMAS_1_CARGO_DiG_Virtuve_1"/>
    <m/>
    <s v="CORE"/>
    <x v="1"/>
    <x v="0"/>
    <x v="1"/>
    <n v="202"/>
    <n v="525"/>
    <n v="18"/>
    <n v="1"/>
    <n v="0.20200000000000001"/>
    <n v="0.10605000000000001"/>
    <n v="1.9089E-3"/>
    <n v="0.10605000000000001"/>
    <x v="0"/>
    <n v="1"/>
    <x v="0"/>
    <n v="0"/>
  </r>
  <r>
    <m/>
    <s v="GARTRAUKIO_UZDENGIMAS_7_PAK_PL_HOOD_2xLENT_DiG_Virtuve_1"/>
    <m/>
    <s v="CORE"/>
    <x v="1"/>
    <x v="0"/>
    <x v="1"/>
    <n v="180"/>
    <n v="205.5"/>
    <n v="18"/>
    <n v="1"/>
    <n v="0.18"/>
    <n v="3.6990000000000002E-2"/>
    <n v="6.6582000000000002E-4"/>
    <n v="3.6990000000000002E-2"/>
    <x v="0"/>
    <n v="1"/>
    <x v="0"/>
    <n v="0"/>
  </r>
  <r>
    <m/>
    <s v="GARTRAUKIO_UZDENGIMAS_6_PAK_PL_HOOD_2xLENT_DiG_Virtuve_1"/>
    <m/>
    <s v="CORE"/>
    <x v="1"/>
    <x v="0"/>
    <x v="1"/>
    <n v="180"/>
    <n v="205.5"/>
    <n v="18"/>
    <n v="1"/>
    <n v="0.18"/>
    <n v="3.6990000000000002E-2"/>
    <n v="6.6582000000000002E-4"/>
    <n v="3.6990000000000002E-2"/>
    <x v="0"/>
    <n v="1"/>
    <x v="0"/>
    <n v="0"/>
  </r>
  <r>
    <m/>
    <s v="ORKAITE_NEPJAUTI_ORKAITE_TBOX_DiG_Virtuve_1"/>
    <m/>
    <s v="CORE"/>
    <x v="2"/>
    <x v="0"/>
    <x v="0"/>
    <n v="596"/>
    <n v="595"/>
    <n v="18"/>
    <n v="1"/>
    <n v="0.59599999999999997"/>
    <n v="0.35461999999999999"/>
    <n v="6.3831599999999997E-3"/>
    <n v="0.35461999999999999"/>
    <x v="0"/>
    <n v="1"/>
    <x v="0"/>
    <n v="0"/>
  </r>
  <r>
    <m/>
    <s v="FASADAS2__FASADAI_VERT_PAK_PL_HOOD_2xLENT_DiG_Virtuve_1_2"/>
    <m/>
    <s v="CORE"/>
    <x v="3"/>
    <x v="0"/>
    <x v="1"/>
    <n v="837"/>
    <n v="526"/>
    <n v="18"/>
    <n v="1"/>
    <n v="0.83699999999999997"/>
    <n v="0.44026199999999999"/>
    <n v="7.9247160000000001E-3"/>
    <n v="0.44026199999999999"/>
    <x v="0"/>
    <n v="1"/>
    <x v="0"/>
    <n v="0"/>
  </r>
  <r>
    <m/>
    <s v="FASADAS1_FASADAI_VERT_PAK_PL_HOOD_2xLENT_DiG_Virtuve_1_2"/>
    <m/>
    <s v="CORE"/>
    <x v="3"/>
    <x v="0"/>
    <x v="1"/>
    <n v="837"/>
    <n v="526"/>
    <n v="18"/>
    <n v="1"/>
    <n v="0.83699999999999997"/>
    <n v="0.44026199999999999"/>
    <n v="7.9247160000000001E-3"/>
    <n v="0.44026199999999999"/>
    <x v="0"/>
    <n v="1"/>
    <x v="0"/>
    <n v="0"/>
  </r>
  <r>
    <m/>
    <s v="FASADAS2__FASADAI_VERT_PAK_PLAUSAS_2xFAS_2xLENT_DiG_Virtuve_2_2"/>
    <m/>
    <s v="CORE"/>
    <x v="3"/>
    <x v="0"/>
    <x v="1"/>
    <n v="837"/>
    <n v="497"/>
    <n v="18"/>
    <n v="1"/>
    <n v="0.83699999999999997"/>
    <n v="0.415989"/>
    <n v="7.487802E-3"/>
    <n v="0.415989"/>
    <x v="0"/>
    <n v="1"/>
    <x v="0"/>
    <n v="0"/>
  </r>
  <r>
    <m/>
    <s v="FASADAS1_FASADAI_VERT_PAK_PLAUSAS_2xFAS_2xLENT_DiG_Virtuve_2_2"/>
    <m/>
    <s v="CORE"/>
    <x v="3"/>
    <x v="0"/>
    <x v="1"/>
    <n v="837"/>
    <n v="497"/>
    <n v="18"/>
    <n v="1"/>
    <n v="0.83699999999999997"/>
    <n v="0.415989"/>
    <n v="7.487802E-3"/>
    <n v="0.415989"/>
    <x v="0"/>
    <n v="1"/>
    <x v="0"/>
    <n v="0"/>
  </r>
  <r>
    <m/>
    <s v="FASADAS1_FASADAI_VERT_PAK_PLAUSAS_2xFAS_2xLENT_DiG_Virtuve_1_2"/>
    <m/>
    <s v="CORE"/>
    <x v="3"/>
    <x v="0"/>
    <x v="1"/>
    <n v="837"/>
    <n v="496.5"/>
    <n v="18"/>
    <n v="1"/>
    <n v="0.83699999999999997"/>
    <n v="0.41557050000000001"/>
    <n v="7.4802690000000003E-3"/>
    <n v="0.41557050000000001"/>
    <x v="0"/>
    <n v="1"/>
    <x v="0"/>
    <n v="0"/>
  </r>
  <r>
    <m/>
    <s v="FASADAS2__FASADAI_VERT_PAK_PLAUSAS_2xFAS_2xLENT_DiG_Virtuve_1_2"/>
    <m/>
    <s v="CORE"/>
    <x v="3"/>
    <x v="0"/>
    <x v="1"/>
    <n v="837"/>
    <n v="496.5"/>
    <n v="18"/>
    <n v="1"/>
    <n v="0.83699999999999997"/>
    <n v="0.41557050000000001"/>
    <n v="7.4802690000000003E-3"/>
    <n v="0.41557050000000001"/>
    <x v="0"/>
    <n v="1"/>
    <x v="0"/>
    <n v="0"/>
  </r>
  <r>
    <m/>
    <s v="IMITACIJA_DiG_Virtuve"/>
    <m/>
    <s v="CORE"/>
    <x v="3"/>
    <x v="0"/>
    <x v="1"/>
    <n v="837"/>
    <n v="126"/>
    <n v="18"/>
    <n v="1"/>
    <n v="0.83699999999999997"/>
    <n v="0.105462"/>
    <n v="1.8983159999999999E-3"/>
    <n v="0.105462"/>
    <x v="0"/>
    <n v="1"/>
    <x v="0"/>
    <n v="0"/>
  </r>
  <r>
    <m/>
    <s v="NUGARA_1_DiG_Virtuve"/>
    <m/>
    <s v="CORE"/>
    <x v="3"/>
    <x v="0"/>
    <x v="1"/>
    <n v="150"/>
    <n v="638"/>
    <n v="18"/>
    <n v="1"/>
    <n v="0.15"/>
    <n v="9.5699999999999993E-2"/>
    <n v="1.7225999999999999E-3"/>
    <n v="9.5699999999999993E-2"/>
    <x v="0"/>
    <n v="1"/>
    <x v="0"/>
    <n v="0"/>
  </r>
  <r>
    <m/>
    <s v="DESINE_1_DiG_Virtuve"/>
    <m/>
    <s v="CORE"/>
    <x v="3"/>
    <x v="0"/>
    <x v="1"/>
    <n v="100"/>
    <n v="638"/>
    <n v="18"/>
    <n v="1"/>
    <n v="0.1"/>
    <n v="6.3799999999999996E-2"/>
    <n v="1.1483999999999999E-3"/>
    <n v="6.3799999999999996E-2"/>
    <x v="0"/>
    <n v="1"/>
    <x v="0"/>
    <n v="0"/>
  </r>
  <r>
    <m/>
    <s v="KAIRE_DiG_Virtuve"/>
    <m/>
    <s v="CORE"/>
    <x v="3"/>
    <x v="0"/>
    <x v="1"/>
    <n v="100"/>
    <n v="638"/>
    <n v="18"/>
    <n v="1"/>
    <n v="0.1"/>
    <n v="6.3799999999999996E-2"/>
    <n v="1.1483999999999999E-3"/>
    <n v="6.3799999999999996E-2"/>
    <x v="0"/>
    <n v="1"/>
    <x v="0"/>
    <n v="0"/>
  </r>
  <r>
    <m/>
    <s v="FASADAS1_FASADAI_VERT_KRIAUKLE_FAS_DiG_Virtuve_2_1"/>
    <m/>
    <s v="CORE"/>
    <x v="4"/>
    <x v="0"/>
    <x v="1"/>
    <n v="757"/>
    <n v="597"/>
    <n v="18"/>
    <n v="1"/>
    <n v="0.75700000000000001"/>
    <n v="0.45192900000000003"/>
    <n v="8.1347220000000005E-3"/>
    <n v="0.45192900000000003"/>
    <x v="0"/>
    <n v="1"/>
    <x v="0"/>
    <n v="0"/>
  </r>
  <r>
    <m/>
    <s v="FASADAS1_FASADAI_VERT_PAS_FAS_LAISVA_DiG_Virtuve_1_1"/>
    <m/>
    <s v="CORE"/>
    <x v="4"/>
    <x v="0"/>
    <x v="1"/>
    <n v="757"/>
    <n v="597"/>
    <n v="18"/>
    <n v="1"/>
    <n v="0.75700000000000001"/>
    <n v="0.45192900000000003"/>
    <n v="8.1347220000000005E-3"/>
    <n v="0.45192900000000003"/>
    <x v="0"/>
    <n v="1"/>
    <x v="0"/>
    <n v="0"/>
  </r>
  <r>
    <m/>
    <s v="FASADAS1_FASADAI_VERT_PAS_FAS_LAISVA_DiG_Virtuve_2_1"/>
    <m/>
    <s v="CORE"/>
    <x v="4"/>
    <x v="0"/>
    <x v="1"/>
    <n v="757"/>
    <n v="597"/>
    <n v="18"/>
    <n v="1"/>
    <n v="0.75700000000000001"/>
    <n v="0.45192900000000003"/>
    <n v="8.1347220000000005E-3"/>
    <n v="0.45192900000000003"/>
    <x v="0"/>
    <n v="1"/>
    <x v="0"/>
    <n v="0"/>
  </r>
  <r>
    <m/>
    <s v="FASADAS1_FASADAI_VERT_CARGO_DiG_Virtuve_1_2"/>
    <m/>
    <s v="CORE"/>
    <x v="4"/>
    <x v="0"/>
    <x v="1"/>
    <n v="757"/>
    <n v="235"/>
    <n v="18"/>
    <n v="1"/>
    <n v="0.75700000000000001"/>
    <n v="0.177895"/>
    <n v="3.2021100000000002E-3"/>
    <n v="0.177895"/>
    <x v="0"/>
    <n v="1"/>
    <x v="0"/>
    <n v="0"/>
  </r>
  <r>
    <m/>
    <s v="FASADAS1_FASADAI_HOR_ORKAITE_TBOX_DiG_Virtuve_1_1"/>
    <m/>
    <s v="CORE"/>
    <x v="4"/>
    <x v="0"/>
    <x v="1"/>
    <n v="596"/>
    <n v="159"/>
    <n v="18"/>
    <n v="1"/>
    <n v="0.59599999999999997"/>
    <n v="9.4764000000000001E-2"/>
    <n v="1.705752E-3"/>
    <n v="9.4764000000000001E-2"/>
    <x v="0"/>
    <n v="1"/>
    <x v="0"/>
    <n v="0"/>
  </r>
  <r>
    <m/>
    <s v="FASADAS3_FASADAI_HOR_PAS_KAIT_4xT_BOX_DiG_Virtuve_1_1"/>
    <m/>
    <s v="CORE"/>
    <x v="4"/>
    <x v="0"/>
    <x v="1"/>
    <n v="397"/>
    <n v="212"/>
    <n v="18"/>
    <n v="1"/>
    <n v="0.39700000000000002"/>
    <n v="8.4164000000000003E-2"/>
    <n v="1.514952E-3"/>
    <n v="8.4164000000000003E-2"/>
    <x v="0"/>
    <n v="1"/>
    <x v="0"/>
    <n v="0"/>
  </r>
  <r>
    <m/>
    <s v="FASADAS1_FASADAI_HOR_PAS_KAIT_4xT_BOX_DiG_Virtuve_1_1"/>
    <m/>
    <s v="CORE"/>
    <x v="4"/>
    <x v="0"/>
    <x v="1"/>
    <n v="397"/>
    <n v="212"/>
    <n v="18"/>
    <n v="1"/>
    <n v="0.39700000000000002"/>
    <n v="8.4164000000000003E-2"/>
    <n v="1.514952E-3"/>
    <n v="8.4164000000000003E-2"/>
    <x v="0"/>
    <n v="1"/>
    <x v="0"/>
    <n v="0"/>
  </r>
  <r>
    <m/>
    <s v="FASADAS2_FASADAI_HOR_PAS_KAIT_4xT_BOX_DiG_Virtuve_1_1"/>
    <m/>
    <s v="CORE"/>
    <x v="4"/>
    <x v="0"/>
    <x v="1"/>
    <n v="397"/>
    <n v="212"/>
    <n v="18"/>
    <n v="1"/>
    <n v="0.39700000000000002"/>
    <n v="8.4164000000000003E-2"/>
    <n v="1.514952E-3"/>
    <n v="8.4164000000000003E-2"/>
    <x v="0"/>
    <n v="1"/>
    <x v="0"/>
    <n v="0"/>
  </r>
  <r>
    <m/>
    <s v="FASADAS4_FASADAI_HOR_PAS_KAIT_4xT_BOX_DiG_Virtuve_1_1"/>
    <m/>
    <s v="CORE"/>
    <x v="4"/>
    <x v="0"/>
    <x v="1"/>
    <n v="397"/>
    <n v="112"/>
    <n v="18"/>
    <n v="1"/>
    <n v="0.39700000000000002"/>
    <n v="4.4463999999999997E-2"/>
    <n v="8.0035200000000005E-4"/>
    <n v="4.4463999999999997E-2"/>
    <x v="0"/>
    <n v="1"/>
    <x v="0"/>
    <n v="0"/>
  </r>
  <r>
    <m/>
    <s v="IMITACIJA_KRIAUKLE_FAS_DiG_Virtuve_2"/>
    <m/>
    <s v="CORE"/>
    <x v="4"/>
    <x v="0"/>
    <x v="1"/>
    <n v="126"/>
    <n v="800"/>
    <n v="18"/>
    <n v="1"/>
    <n v="0.126"/>
    <n v="0.1008"/>
    <n v="1.8144000000000001E-3"/>
    <n v="0.1008"/>
    <x v="0"/>
    <n v="1"/>
    <x v="0"/>
    <n v="0"/>
  </r>
  <r>
    <m/>
    <s v="DESINE_DiG_Virtuve"/>
    <m/>
    <s v="CORE"/>
    <x v="4"/>
    <x v="0"/>
    <x v="1"/>
    <n v="100"/>
    <n v="762"/>
    <n v="18"/>
    <n v="1"/>
    <n v="0.1"/>
    <n v="7.6200000000000004E-2"/>
    <n v="1.3715999999999999E-3"/>
    <n v="7.6200000000000004E-2"/>
    <x v="0"/>
    <n v="1"/>
    <x v="0"/>
    <n v="0"/>
  </r>
  <r>
    <m/>
    <s v="PLINTUSAS_DiG_Virtuve"/>
    <m/>
    <s v="CORE"/>
    <x v="4"/>
    <x v="0"/>
    <x v="1"/>
    <n v="90"/>
    <n v="3187"/>
    <n v="18"/>
    <n v="1"/>
    <n v="0.09"/>
    <n v="0.28682999999999997"/>
    <n v="5.1629400000000004E-3"/>
    <n v="0.28682999999999997"/>
    <x v="0"/>
    <n v="1"/>
    <x v="0"/>
    <n v="0"/>
  </r>
  <r>
    <m/>
    <s v="Back_TANDEMBOX_ORKAITE_TBOX_DiG_Virtuve_1_1"/>
    <m/>
    <s v="CORE"/>
    <x v="5"/>
    <x v="0"/>
    <x v="1"/>
    <n v="477"/>
    <n v="82"/>
    <n v="16"/>
    <n v="1"/>
    <n v="0.47699999999999998"/>
    <n v="3.9114000000000003E-2"/>
    <n v="6.2582399999999998E-4"/>
    <n v="3.9114000000000003E-2"/>
    <x v="0"/>
    <n v="1"/>
    <x v="0"/>
    <n v="0"/>
  </r>
  <r>
    <m/>
    <s v="Bottom_TANDEMBOX_ORKAITE_TBOX_DiG_Virtuve_1_1"/>
    <m/>
    <s v="CORE"/>
    <x v="5"/>
    <x v="0"/>
    <x v="1"/>
    <n v="476"/>
    <n v="489"/>
    <n v="16"/>
    <n v="1"/>
    <n v="0.47599999999999998"/>
    <n v="0.232764"/>
    <n v="3.7242239999999999E-3"/>
    <n v="0.232764"/>
    <x v="0"/>
    <n v="1"/>
    <x v="0"/>
    <n v="0"/>
  </r>
  <r>
    <m/>
    <s v="Bottom_TANDEMBOX_PAS_KAIT_4xT_BOX_DiG_Virtuve_1_1"/>
    <m/>
    <s v="CORE"/>
    <x v="5"/>
    <x v="0"/>
    <x v="1"/>
    <n v="426"/>
    <n v="289"/>
    <n v="16"/>
    <n v="1"/>
    <n v="0.42599999999999999"/>
    <n v="0.123114"/>
    <n v="1.9698239999999998E-3"/>
    <n v="0.123114"/>
    <x v="0"/>
    <n v="1"/>
    <x v="0"/>
    <n v="0"/>
  </r>
  <r>
    <m/>
    <s v="Back_TANDEMBOX_PAS_KAIT_4xT_BOX_DiG_Virtuve_1_3"/>
    <m/>
    <s v="CORE"/>
    <x v="6"/>
    <x v="0"/>
    <x v="2"/>
    <n v="277"/>
    <n v="167"/>
    <n v="16"/>
    <n v="1"/>
    <n v="0.27700000000000002"/>
    <n v="4.6259000000000002E-2"/>
    <n v="7.4014399999999998E-4"/>
    <n v="4.6259000000000002E-2"/>
    <x v="0"/>
    <n v="1"/>
    <x v="0"/>
    <n v="0"/>
  </r>
  <r>
    <m/>
    <s v="Back_TANDEMBOX_PAS_KAIT_4xT_BOX_DiG_Virtuve_1_2"/>
    <m/>
    <s v="CORE"/>
    <x v="6"/>
    <x v="0"/>
    <x v="2"/>
    <n v="277"/>
    <n v="167"/>
    <n v="16"/>
    <n v="1"/>
    <n v="0.27700000000000002"/>
    <n v="4.6259000000000002E-2"/>
    <n v="7.4014399999999998E-4"/>
    <n v="4.6259000000000002E-2"/>
    <x v="0"/>
    <n v="1"/>
    <x v="0"/>
    <n v="0"/>
  </r>
  <r>
    <m/>
    <s v="Back_TANDEMBOX_PAS_KAIT_4xT_BOX_DiG_Virtuve_1_1"/>
    <m/>
    <s v="CORE"/>
    <x v="6"/>
    <x v="0"/>
    <x v="2"/>
    <n v="277"/>
    <n v="116"/>
    <n v="16"/>
    <n v="1"/>
    <n v="0.27700000000000002"/>
    <n v="3.2132000000000001E-2"/>
    <n v="5.1411199999999995E-4"/>
    <n v="3.2132000000000001E-2"/>
    <x v="0"/>
    <n v="1"/>
    <x v="0"/>
    <n v="0"/>
  </r>
  <r>
    <m/>
    <s v="Back_T_BOX_PAS_KAIT_4xT_BOX_DiG_Virtuve_1_1"/>
    <m/>
    <s v="CORE"/>
    <x v="6"/>
    <x v="0"/>
    <x v="2"/>
    <n v="277"/>
    <n v="84"/>
    <n v="16"/>
    <n v="1"/>
    <n v="0.27700000000000002"/>
    <n v="2.3268E-2"/>
    <n v="3.7228800000000002E-4"/>
    <n v="2.3268E-2"/>
    <x v="0"/>
    <n v="1"/>
    <x v="0"/>
    <n v="0"/>
  </r>
  <r>
    <m/>
    <s v="NUGARA_DiG_Virtuve"/>
    <m/>
    <s v="CORE"/>
    <x v="7"/>
    <x v="0"/>
    <x v="0"/>
    <n v="600"/>
    <n v="2908"/>
    <n v="10"/>
    <n v="1"/>
    <n v="0.6"/>
    <n v="1.7447999999999999"/>
    <n v="1.7448000000000002E-2"/>
    <n v="1.7447999999999999"/>
    <x v="0"/>
    <n v="1"/>
    <x v="0"/>
    <n v="0"/>
  </r>
  <r>
    <m/>
    <s v="KAIRE_1_DiG_Virtuve"/>
    <m/>
    <s v="CORE"/>
    <x v="7"/>
    <x v="0"/>
    <x v="0"/>
    <n v="390"/>
    <n v="600"/>
    <n v="10"/>
    <n v="1"/>
    <n v="0.39"/>
    <n v="0.23400000000000001"/>
    <n v="2.3400000000000001E-3"/>
    <n v="0.23400000000000001"/>
    <x v="0"/>
    <n v="1"/>
    <x v="0"/>
    <n v="0"/>
  </r>
  <r>
    <m/>
    <s v="KAIRE_2_DiG_Virtuve"/>
    <m/>
    <s v="CORE"/>
    <x v="7"/>
    <x v="0"/>
    <x v="0"/>
    <n v="136"/>
    <n v="578"/>
    <n v="10"/>
    <n v="1"/>
    <n v="0.13600000000000001"/>
    <n v="7.8607999999999997E-2"/>
    <n v="7.8607999999999998E-4"/>
    <n v="7.8607999999999997E-2"/>
    <x v="0"/>
    <n v="1"/>
    <x v="0"/>
    <n v="0"/>
  </r>
  <r>
    <m/>
    <s v="PLAUSAS_PAK_PLAUSAS_2xFAS_2xLENT_DiG_Virtuve_1"/>
    <m/>
    <s v="CORE"/>
    <x v="8"/>
    <x v="0"/>
    <x v="1"/>
    <n v="997"/>
    <n v="814"/>
    <n v="3"/>
    <n v="1"/>
    <n v="0.997"/>
    <n v="0.811558"/>
    <n v="2.434674E-3"/>
    <n v="0.811558"/>
    <x v="0"/>
    <n v="1"/>
    <x v="0"/>
    <n v="0"/>
  </r>
  <r>
    <m/>
    <s v="PLAUSAS_PAK_PLAUSAS_2xFAS_2xLENT_DiG_Virtuve_2"/>
    <m/>
    <s v="CORE"/>
    <x v="8"/>
    <x v="0"/>
    <x v="1"/>
    <n v="997"/>
    <n v="814"/>
    <n v="3"/>
    <n v="1"/>
    <n v="0.997"/>
    <n v="0.811558"/>
    <n v="2.434674E-3"/>
    <n v="0.811558"/>
    <x v="0"/>
    <n v="1"/>
    <x v="0"/>
    <n v="0"/>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r>
    <m/>
    <m/>
    <m/>
    <m/>
    <x v="9"/>
    <x v="0"/>
    <x v="0"/>
    <m/>
    <m/>
    <m/>
    <m/>
    <m/>
    <m/>
    <m/>
    <m/>
    <x v="0"/>
    <m/>
    <x v="1"/>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m/>
    <m/>
    <m/>
    <m/>
    <x v="0"/>
    <x v="0"/>
    <x v="0"/>
    <m/>
    <m/>
    <m/>
    <m/>
    <n v="0"/>
    <n v="0"/>
    <n v="0"/>
    <n v="0"/>
    <x v="0"/>
    <m/>
    <x v="0"/>
    <n v="0"/>
  </r>
  <r>
    <m/>
    <m/>
    <m/>
    <m/>
    <x v="0"/>
    <x v="0"/>
    <x v="0"/>
    <m/>
    <m/>
    <m/>
    <m/>
    <m/>
    <m/>
    <m/>
    <m/>
    <x v="0"/>
    <m/>
    <x v="1"/>
    <m/>
  </r>
  <r>
    <m/>
    <m/>
    <m/>
    <m/>
    <x v="0"/>
    <x v="0"/>
    <x v="0"/>
    <m/>
    <m/>
    <m/>
    <m/>
    <m/>
    <m/>
    <m/>
    <m/>
    <x v="0"/>
    <m/>
    <x v="1"/>
    <m/>
  </r>
  <r>
    <m/>
    <m/>
    <m/>
    <m/>
    <x v="0"/>
    <x v="0"/>
    <x v="0"/>
    <m/>
    <m/>
    <m/>
    <m/>
    <m/>
    <m/>
    <m/>
    <m/>
    <x v="0"/>
    <m/>
    <x v="1"/>
    <m/>
  </r>
  <r>
    <m/>
    <m/>
    <m/>
    <m/>
    <x v="0"/>
    <x v="0"/>
    <x v="0"/>
    <m/>
    <m/>
    <m/>
    <m/>
    <m/>
    <m/>
    <m/>
    <m/>
    <x v="0"/>
    <m/>
    <x v="1"/>
    <m/>
  </r>
  <r>
    <m/>
    <m/>
    <m/>
    <m/>
    <x v="0"/>
    <x v="0"/>
    <x v="0"/>
    <m/>
    <m/>
    <m/>
    <m/>
    <m/>
    <m/>
    <m/>
    <m/>
    <x v="0"/>
    <m/>
    <x v="1"/>
    <m/>
  </r>
  <r>
    <m/>
    <m/>
    <m/>
    <m/>
    <x v="0"/>
    <x v="0"/>
    <x v="0"/>
    <m/>
    <m/>
    <m/>
    <m/>
    <m/>
    <m/>
    <m/>
    <m/>
    <x v="0"/>
    <m/>
    <x v="1"/>
    <m/>
  </r>
  <r>
    <m/>
    <m/>
    <m/>
    <m/>
    <x v="0"/>
    <x v="0"/>
    <x v="0"/>
    <m/>
    <m/>
    <m/>
    <m/>
    <m/>
    <m/>
    <m/>
    <m/>
    <x v="0"/>
    <m/>
    <x v="1"/>
    <m/>
  </r>
  <r>
    <m/>
    <m/>
    <m/>
    <m/>
    <x v="0"/>
    <x v="0"/>
    <x v="0"/>
    <m/>
    <m/>
    <m/>
    <m/>
    <m/>
    <m/>
    <m/>
    <m/>
    <x v="0"/>
    <m/>
    <x v="1"/>
    <m/>
  </r>
  <r>
    <m/>
    <m/>
    <m/>
    <m/>
    <x v="0"/>
    <x v="0"/>
    <x v="0"/>
    <m/>
    <m/>
    <m/>
    <m/>
    <m/>
    <m/>
    <m/>
    <m/>
    <x v="0"/>
    <m/>
    <x v="1"/>
    <m/>
  </r>
  <r>
    <m/>
    <m/>
    <m/>
    <m/>
    <x v="0"/>
    <x v="0"/>
    <x v="0"/>
    <m/>
    <m/>
    <m/>
    <m/>
    <m/>
    <m/>
    <m/>
    <m/>
    <x v="0"/>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3CC0118-60B0-4486-A6AC-26D83B867AED}" name="PivotTable3" cacheId="10"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P2:U54" firstHeaderRow="1" firstDataRow="2" firstDataCol="4"/>
  <pivotFields count="7">
    <pivotField compact="0" outline="0" subtotalTop="0" showAll="0" includeNewItemsInFilter="1" defaultSubtotal="0"/>
    <pivotField axis="axisRow" compact="0" outline="0" subtotalTop="0" showAll="0" includeNewItemsInFilter="1" defaultSubtotal="0">
      <items count="71">
        <item x="49"/>
        <item x="6"/>
        <item x="18"/>
        <item x="4"/>
        <item x="5"/>
        <item x="0"/>
        <item x="28"/>
        <item m="1" x="50"/>
        <item x="34"/>
        <item m="1" x="51"/>
        <item x="40"/>
        <item m="1" x="52"/>
        <item x="44"/>
        <item x="46"/>
        <item x="47"/>
        <item x="48"/>
        <item x="1"/>
        <item m="1" x="53"/>
        <item m="1" x="54"/>
        <item m="1" x="55"/>
        <item x="2"/>
        <item m="1" x="56"/>
        <item m="1" x="57"/>
        <item x="17"/>
        <item m="1" x="58"/>
        <item m="1" x="59"/>
        <item m="1" x="60"/>
        <item m="1" x="61"/>
        <item m="1" x="62"/>
        <item m="1" x="63"/>
        <item m="1" x="64"/>
        <item m="1" x="65"/>
        <item m="1" x="66"/>
        <item m="1" x="67"/>
        <item m="1" x="68"/>
        <item m="1" x="69"/>
        <item m="1" x="70"/>
        <item x="3"/>
        <item x="7"/>
        <item x="8"/>
        <item x="9"/>
        <item x="10"/>
        <item x="11"/>
        <item x="12"/>
        <item x="13"/>
        <item x="14"/>
        <item x="15"/>
        <item x="16"/>
        <item x="19"/>
        <item x="20"/>
        <item x="21"/>
        <item x="22"/>
        <item x="23"/>
        <item x="24"/>
        <item x="25"/>
        <item x="26"/>
        <item x="27"/>
        <item x="29"/>
        <item x="30"/>
        <item x="31"/>
        <item x="32"/>
        <item x="33"/>
        <item x="35"/>
        <item x="36"/>
        <item x="37"/>
        <item x="38"/>
        <item x="39"/>
        <item x="41"/>
        <item x="42"/>
        <item x="43"/>
        <item x="45"/>
      </items>
    </pivotField>
    <pivotField axis="axisRow" compact="0" outline="0" subtotalTop="0" showAll="0" includeNewItemsInFilter="1" defaultSubtotal="0">
      <items count="4">
        <item x="2"/>
        <item x="3"/>
        <item x="0"/>
        <item x="1"/>
      </items>
    </pivotField>
    <pivotField axis="axisRow" compact="0" outline="0" subtotalTop="0" showAll="0" includeNewItemsInFilter="1" defaultSubtotal="0">
      <items count="27">
        <item x="2"/>
        <item x="3"/>
        <item x="0"/>
        <item x="7"/>
        <item x="13"/>
        <item x="18"/>
        <item x="22"/>
        <item x="24"/>
        <item x="25"/>
        <item x="26"/>
        <item x="1"/>
        <item x="4"/>
        <item x="5"/>
        <item x="6"/>
        <item x="8"/>
        <item x="9"/>
        <item x="10"/>
        <item x="11"/>
        <item x="12"/>
        <item x="14"/>
        <item x="15"/>
        <item x="16"/>
        <item x="17"/>
        <item x="19"/>
        <item x="20"/>
        <item x="21"/>
        <item x="23"/>
      </items>
    </pivotField>
    <pivotField dataField="1" compact="0" outline="0" subtotalTop="0" showAll="0" includeNewItemsInFilter="1" defaultSubtotal="0"/>
    <pivotField axis="axisRow" compact="0" outline="0" subtotalTop="0" showAll="0" includeNewItemsInFilter="1" defaultSubtotal="0">
      <items count="3">
        <item x="2"/>
        <item x="0"/>
        <item x="1"/>
      </items>
    </pivotField>
    <pivotField dataField="1" compact="0" outline="0" subtotalTop="0" showAll="0" includeNewItemsInFilter="1" defaultSubtotal="0"/>
  </pivotFields>
  <rowFields count="4">
    <field x="1"/>
    <field x="5"/>
    <field x="2"/>
    <field x="3"/>
  </rowFields>
  <rowItems count="51">
    <i>
      <x/>
      <x/>
      <x/>
      <x/>
    </i>
    <i>
      <x v="1"/>
      <x v="1"/>
      <x/>
      <x/>
    </i>
    <i>
      <x v="2"/>
      <x v="1"/>
      <x/>
      <x/>
    </i>
    <i>
      <x v="3"/>
      <x v="2"/>
      <x v="1"/>
      <x/>
    </i>
    <i>
      <x v="4"/>
      <x v="1"/>
      <x v="2"/>
      <x v="1"/>
    </i>
    <i>
      <x v="5"/>
      <x v="1"/>
      <x v="2"/>
      <x v="2"/>
    </i>
    <i>
      <x v="6"/>
      <x v="1"/>
      <x v="3"/>
      <x v="3"/>
    </i>
    <i>
      <x v="8"/>
      <x v="1"/>
      <x v="3"/>
      <x v="4"/>
    </i>
    <i>
      <x v="10"/>
      <x v="1"/>
      <x v="3"/>
      <x v="5"/>
    </i>
    <i>
      <x v="12"/>
      <x v="1"/>
      <x v="3"/>
      <x v="6"/>
    </i>
    <i>
      <x v="13"/>
      <x v="1"/>
      <x v="3"/>
      <x v="7"/>
    </i>
    <i>
      <x v="14"/>
      <x v="1"/>
      <x v="3"/>
      <x v="8"/>
    </i>
    <i>
      <x v="15"/>
      <x v="1"/>
      <x v="3"/>
      <x v="9"/>
    </i>
    <i>
      <x v="16"/>
      <x v="1"/>
      <x v="3"/>
      <x v="10"/>
    </i>
    <i>
      <x v="20"/>
      <x v="1"/>
      <x/>
      <x/>
    </i>
    <i>
      <x v="23"/>
      <x v="1"/>
      <x/>
      <x/>
    </i>
    <i>
      <x v="37"/>
      <x v="1"/>
      <x/>
      <x/>
    </i>
    <i>
      <x v="38"/>
      <x v="1"/>
      <x/>
      <x/>
    </i>
    <i>
      <x v="39"/>
      <x v="1"/>
      <x/>
      <x/>
    </i>
    <i>
      <x v="40"/>
      <x v="1"/>
      <x/>
      <x/>
    </i>
    <i>
      <x v="41"/>
      <x v="1"/>
      <x/>
      <x/>
    </i>
    <i>
      <x v="42"/>
      <x v="1"/>
      <x/>
      <x/>
    </i>
    <i>
      <x v="43"/>
      <x v="1"/>
      <x/>
      <x/>
    </i>
    <i>
      <x v="44"/>
      <x v="1"/>
      <x/>
      <x/>
    </i>
    <i>
      <x v="45"/>
      <x v="1"/>
      <x/>
      <x/>
    </i>
    <i>
      <x v="46"/>
      <x v="1"/>
      <x/>
      <x/>
    </i>
    <i>
      <x v="47"/>
      <x v="1"/>
      <x/>
      <x/>
    </i>
    <i>
      <x v="48"/>
      <x v="1"/>
      <x/>
      <x/>
    </i>
    <i>
      <x v="49"/>
      <x v="1"/>
      <x/>
      <x/>
    </i>
    <i>
      <x v="50"/>
      <x v="1"/>
      <x/>
      <x/>
    </i>
    <i>
      <x v="51"/>
      <x v="1"/>
      <x/>
      <x/>
    </i>
    <i>
      <x v="52"/>
      <x v="1"/>
      <x/>
      <x/>
    </i>
    <i>
      <x v="53"/>
      <x v="1"/>
      <x/>
      <x/>
    </i>
    <i>
      <x v="54"/>
      <x v="1"/>
      <x v="3"/>
      <x v="11"/>
    </i>
    <i>
      <x v="55"/>
      <x v="1"/>
      <x v="3"/>
      <x v="12"/>
    </i>
    <i>
      <x v="56"/>
      <x v="1"/>
      <x v="3"/>
      <x v="13"/>
    </i>
    <i>
      <x v="57"/>
      <x v="1"/>
      <x v="3"/>
      <x v="14"/>
    </i>
    <i>
      <x v="58"/>
      <x v="1"/>
      <x v="3"/>
      <x v="15"/>
    </i>
    <i>
      <x v="59"/>
      <x v="1"/>
      <x v="3"/>
      <x v="16"/>
    </i>
    <i>
      <x v="60"/>
      <x v="1"/>
      <x v="3"/>
      <x v="17"/>
    </i>
    <i>
      <x v="61"/>
      <x v="1"/>
      <x v="3"/>
      <x v="18"/>
    </i>
    <i>
      <x v="62"/>
      <x v="1"/>
      <x v="3"/>
      <x v="19"/>
    </i>
    <i>
      <x v="63"/>
      <x v="1"/>
      <x v="3"/>
      <x v="19"/>
    </i>
    <i>
      <x v="64"/>
      <x v="1"/>
      <x v="3"/>
      <x v="20"/>
    </i>
    <i>
      <x v="65"/>
      <x v="1"/>
      <x v="3"/>
      <x v="21"/>
    </i>
    <i>
      <x v="66"/>
      <x v="1"/>
      <x v="3"/>
      <x v="22"/>
    </i>
    <i>
      <x v="67"/>
      <x v="1"/>
      <x v="3"/>
      <x v="23"/>
    </i>
    <i>
      <x v="68"/>
      <x v="1"/>
      <x v="3"/>
      <x v="24"/>
    </i>
    <i>
      <x v="69"/>
      <x v="1"/>
      <x v="3"/>
      <x v="25"/>
    </i>
    <i>
      <x v="70"/>
      <x v="1"/>
      <x v="3"/>
      <x v="26"/>
    </i>
    <i t="grand">
      <x/>
    </i>
  </rowItems>
  <colFields count="1">
    <field x="-2"/>
  </colFields>
  <colItems count="2">
    <i>
      <x/>
    </i>
    <i i="1">
      <x v="1"/>
    </i>
  </colItems>
  <dataFields count="2">
    <dataField name="Tot_Qty" fld="4" baseField="1" baseItem="0"/>
    <dataField name="Total_Cost" fld="6" baseField="3" baseItem="0"/>
  </dataFields>
  <formats count="32">
    <format dxfId="260">
      <pivotArea type="origin" dataOnly="0" labelOnly="1" outline="0" fieldPosition="0"/>
    </format>
    <format dxfId="259">
      <pivotArea type="origin" dataOnly="0" labelOnly="1" outline="0" fieldPosition="0"/>
    </format>
    <format dxfId="258">
      <pivotArea outline="0" fieldPosition="0"/>
    </format>
    <format dxfId="257">
      <pivotArea type="topRight" dataOnly="0" labelOnly="1" outline="0" fieldPosition="0"/>
    </format>
    <format dxfId="256">
      <pivotArea outline="0" fieldPosition="0"/>
    </format>
    <format dxfId="255">
      <pivotArea type="topRight" dataOnly="0" labelOnly="1" outline="0" fieldPosition="0"/>
    </format>
    <format dxfId="254">
      <pivotArea grandRow="1" outline="0" fieldPosition="0"/>
    </format>
    <format dxfId="253">
      <pivotArea outline="0" fieldPosition="0"/>
    </format>
    <format dxfId="252">
      <pivotArea type="topRight" dataOnly="0" labelOnly="1" outline="0" fieldPosition="0"/>
    </format>
    <format dxfId="251">
      <pivotArea field="-2" type="button" dataOnly="0" labelOnly="1" outline="0" axis="axisCol" fieldPosition="0"/>
    </format>
    <format dxfId="250">
      <pivotArea type="all" dataOnly="0" outline="0" fieldPosition="0"/>
    </format>
    <format dxfId="249">
      <pivotArea outline="0" fieldPosition="0"/>
    </format>
    <format dxfId="248">
      <pivotArea type="origin" dataOnly="0" labelOnly="1" outline="0" fieldPosition="0"/>
    </format>
    <format dxfId="247">
      <pivotArea field="-2" type="button" dataOnly="0" labelOnly="1" outline="0" axis="axisCol" fieldPosition="0"/>
    </format>
    <format dxfId="246">
      <pivotArea type="topRight" dataOnly="0" labelOnly="1" outline="0" fieldPosition="0"/>
    </format>
    <format dxfId="245">
      <pivotArea dataOnly="0" labelOnly="1" grandRow="1" outline="0" fieldPosition="0"/>
    </format>
    <format dxfId="244">
      <pivotArea type="all" dataOnly="0" outline="0" fieldPosition="0"/>
    </format>
    <format dxfId="243">
      <pivotArea outline="0" fieldPosition="0"/>
    </format>
    <format dxfId="242">
      <pivotArea type="origin" dataOnly="0" labelOnly="1" outline="0" fieldPosition="0"/>
    </format>
    <format dxfId="241">
      <pivotArea field="-2" type="button" dataOnly="0" labelOnly="1" outline="0" axis="axisCol" fieldPosition="0"/>
    </format>
    <format dxfId="240">
      <pivotArea type="topRight" dataOnly="0" labelOnly="1" outline="0" fieldPosition="0"/>
    </format>
    <format dxfId="239">
      <pivotArea dataOnly="0" labelOnly="1" grandRow="1" outline="0" fieldPosition="0"/>
    </format>
    <format dxfId="238">
      <pivotArea field="1" type="button" dataOnly="0" labelOnly="1" outline="0" axis="axisRow" fieldPosition="0"/>
    </format>
    <format dxfId="237">
      <pivotArea field="5" type="button" dataOnly="0" labelOnly="1" outline="0" axis="axisRow" fieldPosition="1"/>
    </format>
    <format dxfId="236">
      <pivotArea field="2" type="button" dataOnly="0" labelOnly="1" outline="0" axis="axisRow" fieldPosition="2"/>
    </format>
    <format dxfId="235">
      <pivotArea field="3" type="button" dataOnly="0" labelOnly="1" outline="0" axis="axisRow" fieldPosition="3"/>
    </format>
    <format dxfId="234">
      <pivotArea dataOnly="0" labelOnly="1" outline="0" fieldPosition="0">
        <references count="1">
          <reference field="4294967294" count="2">
            <x v="0"/>
            <x v="1"/>
          </reference>
        </references>
      </pivotArea>
    </format>
    <format dxfId="233">
      <pivotArea field="1" type="button" dataOnly="0" labelOnly="1" outline="0" axis="axisRow" fieldPosition="0"/>
    </format>
    <format dxfId="232">
      <pivotArea field="5" type="button" dataOnly="0" labelOnly="1" outline="0" axis="axisRow" fieldPosition="1"/>
    </format>
    <format dxfId="231">
      <pivotArea field="2" type="button" dataOnly="0" labelOnly="1" outline="0" axis="axisRow" fieldPosition="2"/>
    </format>
    <format dxfId="230">
      <pivotArea field="3" type="button" dataOnly="0" labelOnly="1" outline="0" axis="axisRow" fieldPosition="3"/>
    </format>
    <format dxfId="229">
      <pivotArea dataOnly="0" labelOnly="1" outline="0" fieldPosition="0">
        <references count="1">
          <reference field="4294967294" count="2">
            <x v="0"/>
            <x v="1"/>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DC4B56-26DD-4302-8590-90C2D5323A49}" name="PivotTable2" cacheId="17"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I2:N7" firstHeaderRow="1" firstDataRow="2" firstDataCol="4"/>
  <pivotFields count="13">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Row" compact="0" outline="0" subtotalTop="0" showAll="0" includeNewItemsInFilter="1" defaultSubtotal="0">
      <items count="5">
        <item x="2"/>
        <item m="1" x="3"/>
        <item x="1"/>
        <item x="0"/>
        <item m="1" x="4"/>
      </items>
    </pivotField>
    <pivotField axis="axisRow" compact="0" outline="0" subtotalTop="0" showAll="0" includeNewItemsInFilter="1" defaultSubtotal="0">
      <items count="1">
        <item x="0"/>
      </items>
    </pivotField>
    <pivotField axis="axisRow" compact="0" outline="0" showAll="0" includeNewItemsInFilter="1">
      <items count="2">
        <item x="0"/>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dataField="1" compact="0" outline="0" subtotalTop="0" showAll="0" includeNewItemsInFilter="1" defaultSubtotal="0"/>
    <pivotField axis="axisRow" compact="0" outline="0" subtotalTop="0" showAll="0" includeNewItemsInFilter="1" defaultSubtotal="0">
      <items count="3">
        <item x="2"/>
        <item x="1"/>
        <item x="0"/>
      </items>
    </pivotField>
    <pivotField dataField="1" compact="0" outline="0" subtotalTop="0" showAll="0" includeNewItemsInFilter="1" defaultSubtotal="0"/>
  </pivotFields>
  <rowFields count="4">
    <field x="4"/>
    <field x="11"/>
    <field x="5"/>
    <field x="6"/>
  </rowFields>
  <rowItems count="4">
    <i>
      <x/>
      <x/>
      <x/>
      <x/>
    </i>
    <i>
      <x v="2"/>
      <x v="1"/>
      <x/>
      <x/>
    </i>
    <i>
      <x v="3"/>
      <x v="2"/>
      <x/>
      <x/>
    </i>
    <i t="grand">
      <x/>
    </i>
  </rowItems>
  <colFields count="1">
    <field x="-2"/>
  </colFields>
  <colItems count="2">
    <i>
      <x/>
    </i>
    <i i="1">
      <x v="1"/>
    </i>
  </colItems>
  <dataFields count="2">
    <dataField name="Tot_ml" fld="10" baseField="6" baseItem="0" numFmtId="2"/>
    <dataField name="Total_Cost" fld="12" baseField="6" baseItem="0"/>
  </dataFields>
  <formats count="40">
    <format dxfId="300">
      <pivotArea field="6" type="button" dataOnly="0" labelOnly="1" outline="0" axis="axisRow" fieldPosition="3"/>
    </format>
    <format dxfId="299">
      <pivotArea type="origin" dataOnly="0" labelOnly="1" outline="0" fieldPosition="0"/>
    </format>
    <format dxfId="298">
      <pivotArea type="origin" dataOnly="0" labelOnly="1" outline="0" fieldPosition="0"/>
    </format>
    <format dxfId="297">
      <pivotArea outline="0" fieldPosition="0"/>
    </format>
    <format dxfId="296">
      <pivotArea type="topRight" dataOnly="0" labelOnly="1" outline="0" fieldPosition="0"/>
    </format>
    <format dxfId="295">
      <pivotArea outline="0" fieldPosition="0"/>
    </format>
    <format dxfId="294">
      <pivotArea type="topRight" dataOnly="0" labelOnly="1" outline="0" fieldPosition="0"/>
    </format>
    <format dxfId="293">
      <pivotArea outline="0" fieldPosition="0"/>
    </format>
    <format dxfId="292">
      <pivotArea type="topRight" dataOnly="0" labelOnly="1" outline="0" fieldPosition="0"/>
    </format>
    <format dxfId="291">
      <pivotArea field="6" type="button" dataOnly="0" labelOnly="1" outline="0" axis="axisRow" fieldPosition="3"/>
    </format>
    <format dxfId="290">
      <pivotArea field="-2" type="button" dataOnly="0" labelOnly="1" outline="0" axis="axisCol" fieldPosition="0"/>
    </format>
    <format dxfId="289">
      <pivotArea dataOnly="0" labelOnly="1" outline="0" fieldPosition="0">
        <references count="1">
          <reference field="4294967294" count="1">
            <x v="0"/>
          </reference>
        </references>
      </pivotArea>
    </format>
    <format dxfId="288">
      <pivotArea type="all" dataOnly="0" outline="0" fieldPosition="0"/>
    </format>
    <format dxfId="287">
      <pivotArea outline="0" fieldPosition="0"/>
    </format>
    <format dxfId="286">
      <pivotArea type="origin" dataOnly="0" labelOnly="1" outline="0" fieldPosition="0"/>
    </format>
    <format dxfId="285">
      <pivotArea field="-2" type="button" dataOnly="0" labelOnly="1" outline="0" axis="axisCol" fieldPosition="0"/>
    </format>
    <format dxfId="284">
      <pivotArea type="topRight" dataOnly="0" labelOnly="1" outline="0" fieldPosition="0"/>
    </format>
    <format dxfId="283">
      <pivotArea field="6" type="button" dataOnly="0" labelOnly="1" outline="0" axis="axisRow" fieldPosition="3"/>
    </format>
    <format dxfId="282">
      <pivotArea dataOnly="0" labelOnly="1" grandRow="1" outline="0" fieldPosition="0"/>
    </format>
    <format dxfId="281">
      <pivotArea dataOnly="0" labelOnly="1" outline="0" fieldPosition="0">
        <references count="1">
          <reference field="4294967294" count="1">
            <x v="0"/>
          </reference>
        </references>
      </pivotArea>
    </format>
    <format dxfId="280">
      <pivotArea type="all" dataOnly="0" outline="0" fieldPosition="0"/>
    </format>
    <format dxfId="279">
      <pivotArea outline="0" fieldPosition="0"/>
    </format>
    <format dxfId="278">
      <pivotArea type="origin" dataOnly="0" labelOnly="1" outline="0" fieldPosition="0"/>
    </format>
    <format dxfId="277">
      <pivotArea field="-2" type="button" dataOnly="0" labelOnly="1" outline="0" axis="axisCol" fieldPosition="0"/>
    </format>
    <format dxfId="276">
      <pivotArea type="topRight" dataOnly="0" labelOnly="1" outline="0" fieldPosition="0"/>
    </format>
    <format dxfId="275">
      <pivotArea field="6" type="button" dataOnly="0" labelOnly="1" outline="0" axis="axisRow" fieldPosition="3"/>
    </format>
    <format dxfId="274">
      <pivotArea dataOnly="0" labelOnly="1" grandRow="1" outline="0" fieldPosition="0"/>
    </format>
    <format dxfId="273">
      <pivotArea dataOnly="0" labelOnly="1" outline="0" fieldPosition="0">
        <references count="1">
          <reference field="4294967294" count="1">
            <x v="0"/>
          </reference>
        </references>
      </pivotArea>
    </format>
    <format dxfId="272">
      <pivotArea field="6" type="button" dataOnly="0" labelOnly="1" outline="0" axis="axisRow" fieldPosition="3"/>
    </format>
    <format dxfId="271">
      <pivotArea dataOnly="0" labelOnly="1" outline="0" fieldPosition="0">
        <references count="1">
          <reference field="4294967294" count="1">
            <x v="0"/>
          </reference>
        </references>
      </pivotArea>
    </format>
    <format dxfId="270">
      <pivotArea field="4" type="button" dataOnly="0" labelOnly="1" outline="0" axis="axisRow" fieldPosition="0"/>
    </format>
    <format dxfId="269">
      <pivotArea field="11" type="button" dataOnly="0" labelOnly="1" outline="0" axis="axisRow" fieldPosition="1"/>
    </format>
    <format dxfId="268">
      <pivotArea field="5" type="button" dataOnly="0" labelOnly="1" outline="0" axis="axisRow" fieldPosition="2"/>
    </format>
    <format dxfId="267">
      <pivotArea field="6" type="button" dataOnly="0" labelOnly="1" outline="0" axis="axisRow" fieldPosition="3"/>
    </format>
    <format dxfId="266">
      <pivotArea dataOnly="0" labelOnly="1" outline="0" fieldPosition="0">
        <references count="1">
          <reference field="4294967294" count="2">
            <x v="0"/>
            <x v="1"/>
          </reference>
        </references>
      </pivotArea>
    </format>
    <format dxfId="265">
      <pivotArea field="4" type="button" dataOnly="0" labelOnly="1" outline="0" axis="axisRow" fieldPosition="0"/>
    </format>
    <format dxfId="264">
      <pivotArea field="11" type="button" dataOnly="0" labelOnly="1" outline="0" axis="axisRow" fieldPosition="1"/>
    </format>
    <format dxfId="263">
      <pivotArea field="5" type="button" dataOnly="0" labelOnly="1" outline="0" axis="axisRow" fieldPosition="2"/>
    </format>
    <format dxfId="262">
      <pivotArea field="6" type="button" dataOnly="0" labelOnly="1" outline="0" axis="axisRow" fieldPosition="3"/>
    </format>
    <format dxfId="261">
      <pivotArea dataOnly="0" labelOnly="1" outline="0" fieldPosition="0">
        <references count="1">
          <reference field="4294967294" count="2">
            <x v="0"/>
            <x v="1"/>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05DABB6-BE30-48E6-883F-7A9A5571A77D}" name="PivotTable1" cacheId="25"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A2:G14" firstHeaderRow="1" firstDataRow="2" firstDataCol="5"/>
  <pivotFields count="19">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Row" compact="0" outline="0" subtotalTop="0" showAll="0" includeNewItemsInFilter="1" defaultSubtotal="0">
      <items count="13">
        <item x="9"/>
        <item m="1" x="10"/>
        <item x="1"/>
        <item m="1" x="11"/>
        <item x="8"/>
        <item m="1" x="12"/>
        <item x="5"/>
        <item x="6"/>
        <item x="0"/>
        <item x="2"/>
        <item x="3"/>
        <item x="4"/>
        <item x="7"/>
      </items>
    </pivotField>
    <pivotField axis="axisRow" compact="0" outline="0" subtotalTop="0" showAll="0" includeNewItemsInFilter="1" defaultSubtotal="0">
      <items count="2">
        <item x="0"/>
        <item m="1" x="1"/>
      </items>
    </pivotField>
    <pivotField axis="axisRow" compact="0" outline="0" showAll="0" includeNewItemsInFilter="1">
      <items count="4">
        <item x="0"/>
        <item x="1"/>
        <item x="2"/>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howAll="0" includeNewItemsInFilter="1"/>
    <pivotField compact="0" outline="0" subtotalTop="0" showAll="0" includeNewItemsInFilter="1" defaultSubtotal="0"/>
    <pivotField dataField="1" compact="0" outline="0" subtotalTop="0" showAll="0" includeNewItemsInFilter="1" defaultSubtotal="0"/>
    <pivotField axis="axisRow" compact="0" outline="0" subtotalTop="0" showAll="0" includeNewItemsInFilter="1" defaultSubtotal="0">
      <items count="4">
        <item x="0"/>
        <item m="1" x="1"/>
        <item m="1" x="2"/>
        <item m="1" x="3"/>
      </items>
    </pivotField>
    <pivotField compact="0" outline="0" subtotalTop="0" showAll="0" includeNewItemsInFilter="1" defaultSubtotal="0"/>
    <pivotField axis="axisRow" compact="0" outline="0" subtotalTop="0" showAll="0" includeNewItemsInFilter="1" defaultSubtotal="0">
      <items count="2">
        <item x="1"/>
        <item x="0"/>
      </items>
    </pivotField>
    <pivotField dataField="1" compact="0" outline="0" subtotalTop="0" showAll="0" includeNewItemsInFilter="1" defaultSubtotal="0"/>
  </pivotFields>
  <rowFields count="5">
    <field x="17"/>
    <field x="4"/>
    <field x="15"/>
    <field x="5"/>
    <field x="6"/>
  </rowFields>
  <rowItems count="11">
    <i>
      <x/>
      <x/>
      <x/>
      <x/>
      <x/>
    </i>
    <i>
      <x v="1"/>
      <x v="2"/>
      <x/>
      <x/>
      <x v="1"/>
    </i>
    <i r="1">
      <x v="4"/>
      <x/>
      <x/>
      <x v="1"/>
    </i>
    <i r="1">
      <x v="6"/>
      <x/>
      <x/>
      <x v="1"/>
    </i>
    <i r="1">
      <x v="7"/>
      <x/>
      <x/>
      <x v="2"/>
    </i>
    <i r="1">
      <x v="8"/>
      <x/>
      <x/>
      <x/>
    </i>
    <i r="1">
      <x v="9"/>
      <x/>
      <x/>
      <x/>
    </i>
    <i r="1">
      <x v="10"/>
      <x/>
      <x/>
      <x v="1"/>
    </i>
    <i r="1">
      <x v="11"/>
      <x/>
      <x/>
      <x v="1"/>
    </i>
    <i r="1">
      <x v="12"/>
      <x/>
      <x/>
      <x/>
    </i>
    <i t="grand">
      <x/>
    </i>
  </rowItems>
  <colFields count="1">
    <field x="-2"/>
  </colFields>
  <colItems count="2">
    <i>
      <x/>
    </i>
    <i i="1">
      <x v="1"/>
    </i>
  </colItems>
  <dataFields count="2">
    <dataField name="Tot_Unit" fld="14" baseField="6" baseItem="0"/>
    <dataField name="Total_Cost" fld="18" baseField="6" baseItem="0"/>
  </dataFields>
  <formats count="45">
    <format dxfId="345">
      <pivotArea field="6" type="button" dataOnly="0" labelOnly="1" outline="0" axis="axisRow" fieldPosition="4"/>
    </format>
    <format dxfId="344">
      <pivotArea type="origin" dataOnly="0" labelOnly="1" outline="0" fieldPosition="0"/>
    </format>
    <format dxfId="343">
      <pivotArea type="origin" dataOnly="0" labelOnly="1" outline="0" fieldPosition="0"/>
    </format>
    <format dxfId="342">
      <pivotArea outline="0" fieldPosition="0"/>
    </format>
    <format dxfId="341">
      <pivotArea type="topRight" dataOnly="0" labelOnly="1" outline="0" fieldPosition="0"/>
    </format>
    <format dxfId="340">
      <pivotArea outline="0" fieldPosition="0"/>
    </format>
    <format dxfId="339">
      <pivotArea type="topRight" dataOnly="0" labelOnly="1" outline="0" fieldPosition="0"/>
    </format>
    <format dxfId="338">
      <pivotArea outline="0" fieldPosition="0"/>
    </format>
    <format dxfId="337">
      <pivotArea type="topRight" dataOnly="0" labelOnly="1" outline="0" fieldPosition="0"/>
    </format>
    <format dxfId="336">
      <pivotArea dataOnly="0" labelOnly="1" outline="0" fieldPosition="0">
        <references count="1">
          <reference field="6" count="0"/>
        </references>
      </pivotArea>
    </format>
    <format dxfId="335">
      <pivotArea dataOnly="0" labelOnly="1" outline="0" fieldPosition="0">
        <references count="1">
          <reference field="4294967294" count="1">
            <x v="0"/>
          </reference>
        </references>
      </pivotArea>
    </format>
    <format dxfId="334">
      <pivotArea field="-2" type="button" dataOnly="0" labelOnly="1" outline="0" axis="axisCol" fieldPosition="0"/>
    </format>
    <format dxfId="333">
      <pivotArea type="all" dataOnly="0" outline="0" fieldPosition="0"/>
    </format>
    <format dxfId="332">
      <pivotArea outline="0" fieldPosition="0"/>
    </format>
    <format dxfId="331">
      <pivotArea type="origin" dataOnly="0" labelOnly="1" outline="0" fieldPosition="0"/>
    </format>
    <format dxfId="330">
      <pivotArea field="-2" type="button" dataOnly="0" labelOnly="1" outline="0" axis="axisCol" fieldPosition="0"/>
    </format>
    <format dxfId="329">
      <pivotArea type="topRight" dataOnly="0" labelOnly="1" outline="0" fieldPosition="0"/>
    </format>
    <format dxfId="328">
      <pivotArea field="6" type="button" dataOnly="0" labelOnly="1" outline="0" axis="axisRow" fieldPosition="4"/>
    </format>
    <format dxfId="327">
      <pivotArea dataOnly="0" labelOnly="1" grandRow="1" outline="0" fieldPosition="0"/>
    </format>
    <format dxfId="326">
      <pivotArea dataOnly="0" labelOnly="1" outline="0" fieldPosition="0">
        <references count="1">
          <reference field="4294967294" count="1">
            <x v="0"/>
          </reference>
        </references>
      </pivotArea>
    </format>
    <format dxfId="325">
      <pivotArea type="all" dataOnly="0" outline="0" fieldPosition="0"/>
    </format>
    <format dxfId="324">
      <pivotArea outline="0" fieldPosition="0"/>
    </format>
    <format dxfId="323">
      <pivotArea type="origin" dataOnly="0" labelOnly="1" outline="0" fieldPosition="0"/>
    </format>
    <format dxfId="322">
      <pivotArea field="-2" type="button" dataOnly="0" labelOnly="1" outline="0" axis="axisCol" fieldPosition="0"/>
    </format>
    <format dxfId="321">
      <pivotArea type="topRight" dataOnly="0" labelOnly="1" outline="0" fieldPosition="0"/>
    </format>
    <format dxfId="320">
      <pivotArea field="6" type="button" dataOnly="0" labelOnly="1" outline="0" axis="axisRow" fieldPosition="4"/>
    </format>
    <format dxfId="319">
      <pivotArea dataOnly="0" labelOnly="1" grandRow="1" outline="0" fieldPosition="0"/>
    </format>
    <format dxfId="318">
      <pivotArea dataOnly="0" labelOnly="1" outline="0" fieldPosition="0">
        <references count="1">
          <reference field="4294967294" count="1">
            <x v="0"/>
          </reference>
        </references>
      </pivotArea>
    </format>
    <format dxfId="317">
      <pivotArea dataOnly="0" labelOnly="1" outline="0" fieldPosition="0">
        <references count="1">
          <reference field="4294967294" count="1">
            <x v="0"/>
          </reference>
        </references>
      </pivotArea>
    </format>
    <format dxfId="316">
      <pivotArea field="6" type="button" dataOnly="0" labelOnly="1" outline="0" axis="axisRow" fieldPosition="4"/>
    </format>
    <format dxfId="315">
      <pivotArea field="17" type="button" dataOnly="0" labelOnly="1" outline="0" axis="axisRow" fieldPosition="0"/>
    </format>
    <format dxfId="314">
      <pivotArea field="4" type="button" dataOnly="0" labelOnly="1" outline="0" axis="axisRow" fieldPosition="1"/>
    </format>
    <format dxfId="313">
      <pivotArea field="15" type="button" dataOnly="0" labelOnly="1" outline="0" axis="axisRow" fieldPosition="2"/>
    </format>
    <format dxfId="312">
      <pivotArea field="5" type="button" dataOnly="0" labelOnly="1" outline="0" axis="axisRow" fieldPosition="3"/>
    </format>
    <format dxfId="311">
      <pivotArea field="6" type="button" dataOnly="0" labelOnly="1" outline="0" axis="axisRow" fieldPosition="4"/>
    </format>
    <format dxfId="310">
      <pivotArea dataOnly="0" labelOnly="1" outline="0" fieldPosition="0">
        <references count="1">
          <reference field="4294967294" count="2">
            <x v="0"/>
            <x v="1"/>
          </reference>
        </references>
      </pivotArea>
    </format>
    <format dxfId="309">
      <pivotArea field="17" type="button" dataOnly="0" labelOnly="1" outline="0" axis="axisRow" fieldPosition="0"/>
    </format>
    <format dxfId="308">
      <pivotArea field="4" type="button" dataOnly="0" labelOnly="1" outline="0" axis="axisRow" fieldPosition="1"/>
    </format>
    <format dxfId="307">
      <pivotArea field="15" type="button" dataOnly="0" labelOnly="1" outline="0" axis="axisRow" fieldPosition="2"/>
    </format>
    <format dxfId="306">
      <pivotArea field="5" type="button" dataOnly="0" labelOnly="1" outline="0" axis="axisRow" fieldPosition="3"/>
    </format>
    <format dxfId="305">
      <pivotArea field="6" type="button" dataOnly="0" labelOnly="1" outline="0" axis="axisRow" fieldPosition="4"/>
    </format>
    <format dxfId="304">
      <pivotArea dataOnly="0" labelOnly="1" outline="0" fieldPosition="0">
        <references count="1">
          <reference field="4294967294" count="2">
            <x v="0"/>
            <x v="1"/>
          </reference>
        </references>
      </pivotArea>
    </format>
    <format dxfId="303">
      <pivotArea outline="0" fieldPosition="0">
        <references count="1">
          <reference field="17" count="0" selected="0"/>
        </references>
      </pivotArea>
    </format>
    <format dxfId="302">
      <pivotArea dataOnly="0" labelOnly="1" outline="0" fieldPosition="0">
        <references count="1">
          <reference field="17" count="0"/>
        </references>
      </pivotArea>
    </format>
    <format dxfId="301">
      <pivotArea dataOnly="0" labelOnly="1" outline="0" fieldPosition="0">
        <references count="5">
          <reference field="4" count="0" selected="0"/>
          <reference field="5" count="0" selected="0"/>
          <reference field="6" count="0"/>
          <reference field="15" count="0" selected="0"/>
          <reference field="17" count="1" selected="0">
            <x v="0"/>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37ADFF8-45CF-41F6-8B89-DC6C2BC282C3}" name="PivotTable4" cacheId="33"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location ref="W2:AC6" firstHeaderRow="1" firstDataRow="2" firstDataCol="5"/>
  <pivotFields count="19">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axis="axisRow" compact="0" outline="0" subtotalTop="0" showAll="0" includeNewItemsInFilter="1" defaultSubtotal="0">
      <items count="1">
        <item x="0"/>
      </items>
    </pivotField>
    <pivotField axis="axisRow" compact="0" outline="0" subtotalTop="0" showAll="0" includeNewItemsInFilter="1" defaultSubtotal="0">
      <items count="1">
        <item x="0"/>
      </items>
    </pivotField>
    <pivotField axis="axisRow" compact="0" outline="0" showAll="0" includeNewItemsInFilter="1">
      <items count="2">
        <item x="0"/>
        <item t="default"/>
      </items>
    </pivotField>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ubtotalTop="0" showAll="0" includeNewItemsInFilter="1" defaultSubtotal="0"/>
    <pivotField compact="0" outline="0" showAll="0" includeNewItemsInFilter="1"/>
    <pivotField compact="0" outline="0" subtotalTop="0" showAll="0" includeNewItemsInFilter="1" defaultSubtotal="0"/>
    <pivotField dataField="1" compact="0" outline="0" subtotalTop="0" showAll="0" includeNewItemsInFilter="1" defaultSubtotal="0"/>
    <pivotField axis="axisRow" compact="0" outline="0" subtotalTop="0" showAll="0" includeNewItemsInFilter="1" defaultSubtotal="0">
      <items count="1">
        <item x="0"/>
      </items>
    </pivotField>
    <pivotField compact="0" outline="0" subtotalTop="0" showAll="0" includeNewItemsInFilter="1" defaultSubtotal="0"/>
    <pivotField axis="axisRow" compact="0" outline="0" subtotalTop="0" showAll="0" includeNewItemsInFilter="1" defaultSubtotal="0">
      <items count="2">
        <item x="0"/>
        <item x="1"/>
      </items>
    </pivotField>
    <pivotField dataField="1" compact="0" outline="0" subtotalTop="0" showAll="0" includeNewItemsInFilter="1" defaultSubtotal="0"/>
  </pivotFields>
  <rowFields count="5">
    <field x="17"/>
    <field x="4"/>
    <field x="15"/>
    <field x="5"/>
    <field x="6"/>
  </rowFields>
  <rowItems count="3">
    <i>
      <x/>
      <x/>
      <x/>
      <x/>
      <x/>
    </i>
    <i>
      <x v="1"/>
      <x/>
      <x/>
      <x/>
      <x/>
    </i>
    <i t="grand">
      <x/>
    </i>
  </rowItems>
  <colFields count="1">
    <field x="-2"/>
  </colFields>
  <colItems count="2">
    <i>
      <x/>
    </i>
    <i i="1">
      <x v="1"/>
    </i>
  </colItems>
  <dataFields count="2">
    <dataField name="Tot_Unit" fld="14" baseField="6" baseItem="0"/>
    <dataField name="Total_Cost" fld="18" baseField="6" baseItem="0"/>
  </dataFields>
  <formats count="48">
    <format dxfId="393">
      <pivotArea field="6" type="button" dataOnly="0" labelOnly="1" outline="0" axis="axisRow" fieldPosition="4"/>
    </format>
    <format dxfId="392">
      <pivotArea type="origin" dataOnly="0" labelOnly="1" outline="0" fieldPosition="0"/>
    </format>
    <format dxfId="391">
      <pivotArea type="origin" dataOnly="0" labelOnly="1" outline="0" fieldPosition="0"/>
    </format>
    <format dxfId="390">
      <pivotArea outline="0" fieldPosition="0"/>
    </format>
    <format dxfId="389">
      <pivotArea type="topRight" dataOnly="0" labelOnly="1" outline="0" fieldPosition="0"/>
    </format>
    <format dxfId="388">
      <pivotArea outline="0" fieldPosition="0"/>
    </format>
    <format dxfId="387">
      <pivotArea type="topRight" dataOnly="0" labelOnly="1" outline="0" fieldPosition="0"/>
    </format>
    <format dxfId="386">
      <pivotArea outline="0" fieldPosition="0"/>
    </format>
    <format dxfId="385">
      <pivotArea type="topRight" dataOnly="0" labelOnly="1" outline="0" fieldPosition="0"/>
    </format>
    <format dxfId="384">
      <pivotArea dataOnly="0" labelOnly="1" outline="0" fieldPosition="0">
        <references count="1">
          <reference field="6" count="0"/>
        </references>
      </pivotArea>
    </format>
    <format dxfId="383">
      <pivotArea dataOnly="0" labelOnly="1" outline="0" fieldPosition="0">
        <references count="1">
          <reference field="4294967294" count="1">
            <x v="0"/>
          </reference>
        </references>
      </pivotArea>
    </format>
    <format dxfId="382">
      <pivotArea field="-2" type="button" dataOnly="0" labelOnly="1" outline="0" axis="axisCol" fieldPosition="0"/>
    </format>
    <format dxfId="381">
      <pivotArea type="all" dataOnly="0" outline="0" fieldPosition="0"/>
    </format>
    <format dxfId="380">
      <pivotArea outline="0" fieldPosition="0"/>
    </format>
    <format dxfId="379">
      <pivotArea type="origin" dataOnly="0" labelOnly="1" outline="0" fieldPosition="0"/>
    </format>
    <format dxfId="378">
      <pivotArea field="-2" type="button" dataOnly="0" labelOnly="1" outline="0" axis="axisCol" fieldPosition="0"/>
    </format>
    <format dxfId="377">
      <pivotArea type="topRight" dataOnly="0" labelOnly="1" outline="0" fieldPosition="0"/>
    </format>
    <format dxfId="376">
      <pivotArea field="6" type="button" dataOnly="0" labelOnly="1" outline="0" axis="axisRow" fieldPosition="4"/>
    </format>
    <format dxfId="375">
      <pivotArea dataOnly="0" labelOnly="1" grandRow="1" outline="0" fieldPosition="0"/>
    </format>
    <format dxfId="374">
      <pivotArea dataOnly="0" labelOnly="1" outline="0" fieldPosition="0">
        <references count="1">
          <reference field="4294967294" count="1">
            <x v="0"/>
          </reference>
        </references>
      </pivotArea>
    </format>
    <format dxfId="373">
      <pivotArea type="all" dataOnly="0" outline="0" fieldPosition="0"/>
    </format>
    <format dxfId="372">
      <pivotArea outline="0" fieldPosition="0"/>
    </format>
    <format dxfId="371">
      <pivotArea type="origin" dataOnly="0" labelOnly="1" outline="0" fieldPosition="0"/>
    </format>
    <format dxfId="370">
      <pivotArea field="-2" type="button" dataOnly="0" labelOnly="1" outline="0" axis="axisCol" fieldPosition="0"/>
    </format>
    <format dxfId="369">
      <pivotArea type="topRight" dataOnly="0" labelOnly="1" outline="0" fieldPosition="0"/>
    </format>
    <format dxfId="368">
      <pivotArea field="6" type="button" dataOnly="0" labelOnly="1" outline="0" axis="axisRow" fieldPosition="4"/>
    </format>
    <format dxfId="367">
      <pivotArea dataOnly="0" labelOnly="1" grandRow="1" outline="0" fieldPosition="0"/>
    </format>
    <format dxfId="366">
      <pivotArea dataOnly="0" labelOnly="1" outline="0" fieldPosition="0">
        <references count="1">
          <reference field="4294967294" count="1">
            <x v="0"/>
          </reference>
        </references>
      </pivotArea>
    </format>
    <format dxfId="365">
      <pivotArea dataOnly="0" labelOnly="1" outline="0" fieldPosition="0">
        <references count="1">
          <reference field="4294967294" count="1">
            <x v="0"/>
          </reference>
        </references>
      </pivotArea>
    </format>
    <format dxfId="364">
      <pivotArea field="6" type="button" dataOnly="0" labelOnly="1" outline="0" axis="axisRow" fieldPosition="4"/>
    </format>
    <format dxfId="363">
      <pivotArea field="17" type="button" dataOnly="0" labelOnly="1" outline="0" axis="axisRow" fieldPosition="0"/>
    </format>
    <format dxfId="362">
      <pivotArea field="4" type="button" dataOnly="0" labelOnly="1" outline="0" axis="axisRow" fieldPosition="1"/>
    </format>
    <format dxfId="361">
      <pivotArea field="15" type="button" dataOnly="0" labelOnly="1" outline="0" axis="axisRow" fieldPosition="2"/>
    </format>
    <format dxfId="360">
      <pivotArea field="5" type="button" dataOnly="0" labelOnly="1" outline="0" axis="axisRow" fieldPosition="3"/>
    </format>
    <format dxfId="359">
      <pivotArea field="6" type="button" dataOnly="0" labelOnly="1" outline="0" axis="axisRow" fieldPosition="4"/>
    </format>
    <format dxfId="358">
      <pivotArea dataOnly="0" labelOnly="1" outline="0" fieldPosition="0">
        <references count="1">
          <reference field="4294967294" count="2">
            <x v="0"/>
            <x v="1"/>
          </reference>
        </references>
      </pivotArea>
    </format>
    <format dxfId="357">
      <pivotArea field="17" type="button" dataOnly="0" labelOnly="1" outline="0" axis="axisRow" fieldPosition="0"/>
    </format>
    <format dxfId="356">
      <pivotArea field="4" type="button" dataOnly="0" labelOnly="1" outline="0" axis="axisRow" fieldPosition="1"/>
    </format>
    <format dxfId="355">
      <pivotArea field="15" type="button" dataOnly="0" labelOnly="1" outline="0" axis="axisRow" fieldPosition="2"/>
    </format>
    <format dxfId="354">
      <pivotArea field="5" type="button" dataOnly="0" labelOnly="1" outline="0" axis="axisRow" fieldPosition="3"/>
    </format>
    <format dxfId="353">
      <pivotArea field="6" type="button" dataOnly="0" labelOnly="1" outline="0" axis="axisRow" fieldPosition="4"/>
    </format>
    <format dxfId="352">
      <pivotArea dataOnly="0" labelOnly="1" outline="0" fieldPosition="0">
        <references count="1">
          <reference field="4294967294" count="2">
            <x v="0"/>
            <x v="1"/>
          </reference>
        </references>
      </pivotArea>
    </format>
    <format dxfId="351">
      <pivotArea dataOnly="0" labelOnly="1" outline="0" fieldPosition="0">
        <references count="5">
          <reference field="4" count="0" selected="0"/>
          <reference field="5" count="0" selected="0"/>
          <reference field="6" count="0"/>
          <reference field="15" count="0" selected="0"/>
          <reference field="17" count="1" selected="0">
            <x v="0"/>
          </reference>
        </references>
      </pivotArea>
    </format>
    <format dxfId="350">
      <pivotArea dataOnly="0" labelOnly="1" outline="0" fieldPosition="0">
        <references count="1">
          <reference field="17" count="1">
            <x v="1"/>
          </reference>
        </references>
      </pivotArea>
    </format>
    <format dxfId="349">
      <pivotArea dataOnly="0" labelOnly="1" outline="0" fieldPosition="0">
        <references count="2">
          <reference field="4" count="0"/>
          <reference field="17" count="1" selected="0">
            <x v="0"/>
          </reference>
        </references>
      </pivotArea>
    </format>
    <format dxfId="348">
      <pivotArea dataOnly="0" labelOnly="1" outline="0" fieldPosition="0">
        <references count="3">
          <reference field="4" count="0" selected="0"/>
          <reference field="15" count="0"/>
          <reference field="17" count="1" selected="0">
            <x v="0"/>
          </reference>
        </references>
      </pivotArea>
    </format>
    <format dxfId="347">
      <pivotArea dataOnly="0" labelOnly="1" outline="0" fieldPosition="0">
        <references count="4">
          <reference field="4" count="0" selected="0"/>
          <reference field="5" count="0"/>
          <reference field="15" count="0" selected="0"/>
          <reference field="17" count="1" selected="0">
            <x v="0"/>
          </reference>
        </references>
      </pivotArea>
    </format>
    <format dxfId="346">
      <pivotArea dataOnly="0" labelOnly="1" outline="0" fieldPosition="0">
        <references count="5">
          <reference field="4" count="0" selected="0"/>
          <reference field="5" count="0" selected="0"/>
          <reference field="6" count="0"/>
          <reference field="15" count="0" selected="0"/>
          <reference field="17" count="1" selected="0">
            <x v="1"/>
          </reference>
        </references>
      </pivotArea>
    </format>
  </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19.bin"/><Relationship Id="rId4" Type="http://schemas.openxmlformats.org/officeDocument/2006/relationships/pivotTable" Target="../pivotTables/pivotTable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9BD8E-4AE8-4B04-92C1-4E56A8742F28}">
  <sheetPr codeName="Feuil29"/>
  <dimension ref="A1:AI331"/>
  <sheetViews>
    <sheetView tabSelected="1" topLeftCell="B132" zoomScale="70" zoomScaleNormal="70" workbookViewId="0">
      <selection activeCell="I145" sqref="I145"/>
    </sheetView>
  </sheetViews>
  <sheetFormatPr defaultColWidth="11.453125" defaultRowHeight="60" customHeight="1"/>
  <cols>
    <col min="1" max="1" width="19.36328125" style="23" hidden="1" customWidth="1"/>
    <col min="2" max="2" width="23" style="23" customWidth="1"/>
    <col min="3" max="3" width="23" style="23" hidden="1" customWidth="1"/>
    <col min="4" max="5" width="23.08984375" style="23" customWidth="1"/>
    <col min="6" max="6" width="11.90625" style="23" customWidth="1"/>
    <col min="7" max="9" width="7.6328125" style="23" customWidth="1"/>
    <col min="10" max="10" width="8.6328125" style="23" customWidth="1"/>
    <col min="11" max="16" width="9.6328125" style="23" customWidth="1"/>
    <col min="17" max="17" width="30.6328125" style="23" customWidth="1"/>
    <col min="18" max="21" width="18.54296875" style="23" customWidth="1"/>
    <col min="22" max="23" width="11.453125" style="23" customWidth="1"/>
    <col min="24" max="24" width="13.90625" style="23" customWidth="1"/>
    <col min="25" max="25" width="5" style="23" bestFit="1" customWidth="1"/>
    <col min="26" max="26" width="9.08984375" style="23" customWidth="1"/>
    <col min="27" max="27" width="20.6328125" style="23" customWidth="1"/>
    <col min="28" max="28" width="20.6328125" style="28" customWidth="1"/>
    <col min="29" max="32" width="20.6328125" style="23" customWidth="1"/>
    <col min="33" max="33" width="7.36328125" style="23" bestFit="1" customWidth="1"/>
    <col min="34" max="34" width="20.6328125" style="23" customWidth="1"/>
    <col min="35" max="35" width="24" style="23" customWidth="1"/>
    <col min="36" max="36" width="20.6328125" style="23" customWidth="1"/>
    <col min="37" max="16384" width="11.453125" style="23"/>
  </cols>
  <sheetData>
    <row r="1" spans="1:35" ht="20.149999999999999" customHeight="1">
      <c r="A1" s="82"/>
      <c r="B1" s="83"/>
      <c r="C1" s="83"/>
      <c r="D1" s="146"/>
      <c r="E1" s="146"/>
      <c r="F1" s="147"/>
      <c r="G1" s="127" t="s">
        <v>506</v>
      </c>
      <c r="H1" s="128"/>
      <c r="I1" s="129"/>
      <c r="J1" s="120" t="s">
        <v>817</v>
      </c>
      <c r="K1" s="121"/>
      <c r="L1" s="121"/>
      <c r="M1" s="121"/>
      <c r="N1" s="121"/>
      <c r="O1" s="121"/>
      <c r="P1" s="122"/>
      <c r="Q1" s="126" t="str">
        <f>VLOOKUP(": Date",Tp_LANGUAGE!$A$2:$Z$1001,MATCH(Tp_Global!$J$6,Tp_LANGUAGE!$A$1:$Z$1,0),FALSE)</f>
        <v>: Date</v>
      </c>
      <c r="R1" s="126"/>
      <c r="S1" s="40"/>
      <c r="T1" s="40"/>
      <c r="U1" s="40"/>
      <c r="V1" s="40"/>
      <c r="W1" s="40"/>
    </row>
    <row r="2" spans="1:35" ht="20.149999999999999" customHeight="1" thickBot="1">
      <c r="A2" s="82"/>
      <c r="B2" s="83"/>
      <c r="C2" s="83"/>
      <c r="D2" s="146"/>
      <c r="E2" s="146"/>
      <c r="F2" s="147"/>
      <c r="G2" s="130"/>
      <c r="H2" s="131"/>
      <c r="I2" s="132"/>
      <c r="J2" s="123"/>
      <c r="K2" s="124"/>
      <c r="L2" s="124"/>
      <c r="M2" s="124"/>
      <c r="N2" s="124"/>
      <c r="O2" s="124"/>
      <c r="P2" s="125"/>
      <c r="Q2" s="126" t="str">
        <f>VLOOKUP(": Ref Company",Tp_LANGUAGE!$A$2:$Z$1001,MATCH(Tp_Global!$J$6,Tp_LANGUAGE!$A$1:$Z$1,0),FALSE)</f>
        <v>: Ref Company</v>
      </c>
      <c r="R2" s="126"/>
      <c r="S2" s="40"/>
      <c r="T2" s="40"/>
      <c r="U2" s="40"/>
      <c r="V2" s="40"/>
      <c r="W2" s="40"/>
      <c r="AB2" s="23"/>
    </row>
    <row r="3" spans="1:35" ht="20.149999999999999" customHeight="1">
      <c r="A3" s="82"/>
      <c r="B3" s="83"/>
      <c r="C3" s="83"/>
      <c r="D3" s="146"/>
      <c r="E3" s="146"/>
      <c r="F3" s="147"/>
      <c r="G3" s="127" t="s">
        <v>507</v>
      </c>
      <c r="H3" s="128"/>
      <c r="I3" s="129"/>
      <c r="J3" s="133"/>
      <c r="K3" s="134"/>
      <c r="L3" s="134"/>
      <c r="M3" s="134"/>
      <c r="N3" s="134"/>
      <c r="O3" s="134"/>
      <c r="P3" s="135"/>
      <c r="Q3" s="126" t="str">
        <f>VLOOKUP(": Ref Customer",Tp_LANGUAGE!$A$2:$Z$1001,MATCH(Tp_Global!$J$6,Tp_LANGUAGE!$A$1:$Z$1,0),FALSE)</f>
        <v>: Ref Customer</v>
      </c>
      <c r="R3" s="126"/>
      <c r="S3" s="40"/>
      <c r="T3" s="40"/>
      <c r="U3" s="40"/>
      <c r="V3" s="40"/>
      <c r="W3" s="40"/>
      <c r="AB3" s="23"/>
    </row>
    <row r="4" spans="1:35" ht="20.149999999999999" customHeight="1" thickBot="1">
      <c r="A4" s="82"/>
      <c r="B4" s="83"/>
      <c r="C4" s="83"/>
      <c r="D4" s="146"/>
      <c r="E4" s="146"/>
      <c r="F4" s="147"/>
      <c r="G4" s="130"/>
      <c r="H4" s="131"/>
      <c r="I4" s="132"/>
      <c r="J4" s="136"/>
      <c r="K4" s="137"/>
      <c r="L4" s="137"/>
      <c r="M4" s="137"/>
      <c r="N4" s="137"/>
      <c r="O4" s="137"/>
      <c r="P4" s="138"/>
      <c r="Q4" s="40"/>
      <c r="AB4" s="23"/>
    </row>
    <row r="5" spans="1:35" ht="20.149999999999999" customHeight="1">
      <c r="A5" s="82"/>
      <c r="B5" s="83"/>
      <c r="C5" s="83"/>
      <c r="D5" s="146"/>
      <c r="E5" s="146"/>
      <c r="F5" s="147"/>
      <c r="G5" s="108" t="s">
        <v>508</v>
      </c>
      <c r="H5" s="109"/>
      <c r="I5" s="110"/>
      <c r="J5" s="114"/>
      <c r="K5" s="115"/>
      <c r="L5" s="115"/>
      <c r="M5" s="115"/>
      <c r="N5" s="115"/>
      <c r="O5" s="115"/>
      <c r="P5" s="116"/>
      <c r="Q5" s="32" t="s">
        <v>817</v>
      </c>
      <c r="R5" s="26"/>
      <c r="S5" s="26"/>
      <c r="T5" s="26"/>
      <c r="U5" s="26"/>
      <c r="V5" s="26"/>
      <c r="W5" s="26"/>
      <c r="AB5" s="23"/>
    </row>
    <row r="6" spans="1:35" ht="20.149999999999999" customHeight="1" thickBot="1">
      <c r="A6" s="82"/>
      <c r="B6" s="84"/>
      <c r="C6" s="84"/>
      <c r="D6" s="146"/>
      <c r="E6" s="146"/>
      <c r="F6" s="147"/>
      <c r="G6" s="111"/>
      <c r="H6" s="112"/>
      <c r="I6" s="113"/>
      <c r="J6" s="117"/>
      <c r="K6" s="118"/>
      <c r="L6" s="118"/>
      <c r="M6" s="118"/>
      <c r="N6" s="118"/>
      <c r="O6" s="118"/>
      <c r="P6" s="119"/>
      <c r="Q6" s="27"/>
      <c r="R6" s="27"/>
      <c r="S6" s="27"/>
      <c r="T6" s="27"/>
      <c r="U6" s="27"/>
      <c r="V6" s="27"/>
      <c r="W6" s="27"/>
      <c r="AB6" s="23"/>
    </row>
    <row r="7" spans="1:35" ht="39.9" customHeight="1" thickBot="1">
      <c r="A7" s="82"/>
      <c r="B7" s="85"/>
      <c r="C7" s="85"/>
      <c r="D7" s="146"/>
      <c r="E7" s="146"/>
      <c r="F7" s="147"/>
      <c r="G7" s="150" t="s">
        <v>509</v>
      </c>
      <c r="H7" s="151"/>
      <c r="I7" s="152"/>
      <c r="J7" s="153"/>
      <c r="K7" s="153"/>
      <c r="L7" s="153"/>
      <c r="M7" s="153"/>
      <c r="N7" s="153"/>
      <c r="O7" s="153"/>
      <c r="P7" s="154"/>
      <c r="Q7" s="21"/>
      <c r="R7" s="37"/>
      <c r="S7" s="37"/>
      <c r="T7" s="37"/>
      <c r="U7" s="37"/>
      <c r="V7" s="37"/>
      <c r="W7" s="37"/>
    </row>
    <row r="8" spans="1:35" ht="30.75" customHeight="1" thickBot="1">
      <c r="A8" s="82"/>
      <c r="B8" s="86"/>
      <c r="C8" s="86"/>
      <c r="D8" s="148"/>
      <c r="E8" s="148"/>
      <c r="F8" s="149"/>
      <c r="G8" s="155" t="s">
        <v>510</v>
      </c>
      <c r="H8" s="156"/>
      <c r="I8" s="157"/>
      <c r="J8" s="87"/>
      <c r="K8" s="158" t="s">
        <v>495</v>
      </c>
      <c r="L8" s="159"/>
      <c r="M8" s="159"/>
      <c r="N8" s="160"/>
      <c r="O8" s="161" t="s">
        <v>511</v>
      </c>
      <c r="P8" s="162"/>
      <c r="Q8" s="79"/>
      <c r="R8" s="79"/>
      <c r="S8" s="79"/>
      <c r="T8" s="79"/>
      <c r="U8" s="79"/>
      <c r="V8" s="50"/>
      <c r="W8" s="50"/>
      <c r="X8" s="163" t="s">
        <v>55</v>
      </c>
      <c r="Y8" s="163"/>
      <c r="AA8" s="142" t="s">
        <v>4</v>
      </c>
      <c r="AB8" s="143"/>
      <c r="AC8" s="143"/>
      <c r="AD8" s="143"/>
      <c r="AE8" s="143"/>
      <c r="AF8" s="144"/>
    </row>
    <row r="9" spans="1:35" ht="45.75" customHeight="1" thickBot="1">
      <c r="A9" s="67" t="s">
        <v>496</v>
      </c>
      <c r="B9" s="89" t="s">
        <v>497</v>
      </c>
      <c r="C9" s="67" t="s">
        <v>505</v>
      </c>
      <c r="D9" s="67" t="s">
        <v>498</v>
      </c>
      <c r="E9" s="89" t="s">
        <v>499</v>
      </c>
      <c r="F9" s="67" t="s">
        <v>500</v>
      </c>
      <c r="G9" s="81" t="s">
        <v>89</v>
      </c>
      <c r="H9" s="81" t="s">
        <v>90</v>
      </c>
      <c r="I9" s="81" t="s">
        <v>88</v>
      </c>
      <c r="J9" s="81" t="s">
        <v>501</v>
      </c>
      <c r="K9" s="81" t="s">
        <v>91</v>
      </c>
      <c r="L9" s="81" t="s">
        <v>92</v>
      </c>
      <c r="M9" s="81" t="s">
        <v>89</v>
      </c>
      <c r="N9" s="81" t="s">
        <v>93</v>
      </c>
      <c r="O9" s="88" t="s">
        <v>502</v>
      </c>
      <c r="P9" s="88" t="s">
        <v>503</v>
      </c>
      <c r="Q9" s="77" t="s">
        <v>504</v>
      </c>
      <c r="R9" s="81" t="s">
        <v>505</v>
      </c>
      <c r="S9" s="50"/>
      <c r="T9" s="50"/>
      <c r="U9" s="50"/>
      <c r="V9" s="50"/>
      <c r="W9" s="50"/>
      <c r="X9" s="163"/>
      <c r="Y9" s="163"/>
      <c r="AA9" s="49" t="s">
        <v>80</v>
      </c>
      <c r="AB9" s="23"/>
      <c r="AG9" s="49"/>
    </row>
    <row r="10" spans="1:35" ht="24.9" customHeight="1">
      <c r="A10" s="78"/>
      <c r="B10" s="285" t="s">
        <v>599</v>
      </c>
      <c r="C10" s="286"/>
      <c r="D10" s="286"/>
      <c r="E10" s="286"/>
      <c r="F10" s="286"/>
      <c r="G10" s="286"/>
      <c r="H10" s="286"/>
      <c r="I10" s="286"/>
      <c r="J10" s="286"/>
      <c r="K10" s="286"/>
      <c r="L10" s="286"/>
      <c r="M10" s="286"/>
      <c r="N10" s="286"/>
      <c r="O10" s="286"/>
      <c r="P10" s="286"/>
      <c r="Q10" s="286"/>
      <c r="R10" s="287"/>
      <c r="S10" s="51"/>
      <c r="T10" s="51"/>
      <c r="U10" s="51"/>
      <c r="V10" s="51"/>
      <c r="W10" s="51"/>
      <c r="X10" s="32" t="s">
        <v>170</v>
      </c>
      <c r="Y10" s="32">
        <v>1</v>
      </c>
      <c r="AA10" s="32" t="s">
        <v>531</v>
      </c>
      <c r="AB10" s="23"/>
      <c r="AG10" s="32">
        <v>1</v>
      </c>
      <c r="AH10" s="23" t="e">
        <f>RIGHT(#REF!,LEN(#REF!)-FIND($Q$5,#REF!)+1)</f>
        <v>#REF!</v>
      </c>
      <c r="AI10" s="23" t="e">
        <f t="array" ref="AI10">_xlfn.TEXTSPLIT(AH10,"_")</f>
        <v>#REF!</v>
      </c>
    </row>
    <row r="11" spans="1:35" ht="60" customHeight="1">
      <c r="A11" s="78" t="str">
        <f>D11</f>
        <v>_23</v>
      </c>
      <c r="B11" s="65"/>
      <c r="C11" s="65" t="s">
        <v>600</v>
      </c>
      <c r="D11" s="90" t="s">
        <v>601</v>
      </c>
      <c r="E11" s="65" t="s">
        <v>565</v>
      </c>
      <c r="F11" s="80" t="s">
        <v>602</v>
      </c>
      <c r="G11" s="32">
        <v>3190</v>
      </c>
      <c r="H11" s="32">
        <v>600</v>
      </c>
      <c r="I11" s="32">
        <v>38</v>
      </c>
      <c r="J11" s="32">
        <v>1</v>
      </c>
      <c r="K11" s="32" t="s">
        <v>537</v>
      </c>
      <c r="L11" s="32" t="s">
        <v>537</v>
      </c>
      <c r="M11" s="32" t="s">
        <v>537</v>
      </c>
      <c r="N11" s="32" t="s">
        <v>537</v>
      </c>
      <c r="O11" s="32"/>
      <c r="P11" s="32" t="s">
        <v>565</v>
      </c>
      <c r="Q11" s="32" t="s">
        <v>600</v>
      </c>
      <c r="R11" s="32" t="str">
        <f>$Q$5&amp;""&amp;(ROW()-9)</f>
        <v>DiG_Virtuve2</v>
      </c>
      <c r="S11" s="51"/>
      <c r="T11" s="51"/>
      <c r="U11" s="51"/>
      <c r="V11" s="51"/>
      <c r="W11" s="51"/>
      <c r="X11" s="32" t="s">
        <v>171</v>
      </c>
      <c r="Y11" s="32">
        <v>0</v>
      </c>
      <c r="AB11" s="23"/>
      <c r="AG11" s="32">
        <v>1</v>
      </c>
      <c r="AH11" s="23" t="e">
        <f>RIGHT(#REF!,LEN(#REF!)-FIND($Q$5,#REF!)+1)</f>
        <v>#REF!</v>
      </c>
      <c r="AI11" s="23" t="e">
        <f t="array" ref="AI11">_xlfn.TEXTSPLIT(AH11,"_")</f>
        <v>#REF!</v>
      </c>
    </row>
    <row r="12" spans="1:35" ht="24.9" customHeight="1">
      <c r="A12" s="78"/>
      <c r="B12" s="288" t="s">
        <v>597</v>
      </c>
      <c r="C12" s="289"/>
      <c r="D12" s="289"/>
      <c r="E12" s="289"/>
      <c r="F12" s="289"/>
      <c r="G12" s="289"/>
      <c r="H12" s="289"/>
      <c r="I12" s="289"/>
      <c r="J12" s="289"/>
      <c r="K12" s="289"/>
      <c r="L12" s="289"/>
      <c r="M12" s="289"/>
      <c r="N12" s="289"/>
      <c r="O12" s="289"/>
      <c r="P12" s="289"/>
      <c r="Q12" s="289"/>
      <c r="R12" s="290"/>
      <c r="S12" s="51"/>
      <c r="T12" s="51"/>
      <c r="U12" s="51"/>
      <c r="V12" s="51"/>
      <c r="W12" s="51"/>
      <c r="X12" s="32" t="s">
        <v>183</v>
      </c>
      <c r="Y12" s="32">
        <v>0</v>
      </c>
      <c r="AG12" s="32">
        <v>1</v>
      </c>
      <c r="AH12" s="23" t="e">
        <f>RIGHT(#REF!,LEN(#REF!)-FIND($Q$5,#REF!)+1)</f>
        <v>#REF!</v>
      </c>
      <c r="AI12" s="23" t="e">
        <f t="array" ref="AI12">_xlfn.TEXTSPLIT(AH12,"_")</f>
        <v>#REF!</v>
      </c>
    </row>
    <row r="13" spans="1:35" ht="60" customHeight="1">
      <c r="A13" s="78" t="str">
        <f>D13</f>
        <v>_213</v>
      </c>
      <c r="B13" s="65"/>
      <c r="C13" s="65" t="s">
        <v>603</v>
      </c>
      <c r="D13" s="90" t="s">
        <v>604</v>
      </c>
      <c r="E13" s="65" t="s">
        <v>575</v>
      </c>
      <c r="F13" s="80" t="s">
        <v>527</v>
      </c>
      <c r="G13" s="32">
        <v>1022</v>
      </c>
      <c r="H13" s="32">
        <v>400</v>
      </c>
      <c r="I13" s="32">
        <v>18</v>
      </c>
      <c r="J13" s="32">
        <v>1</v>
      </c>
      <c r="K13" s="32" t="s">
        <v>533</v>
      </c>
      <c r="L13" s="32"/>
      <c r="M13" s="32"/>
      <c r="N13" s="32"/>
      <c r="O13" s="32"/>
      <c r="P13" s="32" t="s">
        <v>575</v>
      </c>
      <c r="Q13" s="32" t="s">
        <v>603</v>
      </c>
      <c r="R13" s="32" t="str">
        <f>$Q$5&amp;""&amp;(ROW()-9)</f>
        <v>DiG_Virtuve4</v>
      </c>
      <c r="S13" s="51"/>
      <c r="T13" s="51"/>
      <c r="U13" s="51"/>
      <c r="V13" s="51"/>
      <c r="W13" s="51"/>
      <c r="AB13" s="32"/>
      <c r="AG13" s="32">
        <v>1</v>
      </c>
      <c r="AH13" s="23" t="e">
        <f>RIGHT(#REF!,LEN(#REF!)-FIND($Q$5,#REF!)+1)</f>
        <v>#REF!</v>
      </c>
      <c r="AI13" s="23" t="e">
        <f t="array" ref="AI13">_xlfn.TEXTSPLIT(AH13,"_")</f>
        <v>#REF!</v>
      </c>
    </row>
  </sheetData>
  <mergeCells count="19">
    <mergeCell ref="B12:R12"/>
    <mergeCell ref="AA8:AF8"/>
    <mergeCell ref="B10:R10"/>
    <mergeCell ref="D1:F8"/>
    <mergeCell ref="G1:I2"/>
    <mergeCell ref="G7:I7"/>
    <mergeCell ref="J7:P7"/>
    <mergeCell ref="G8:I8"/>
    <mergeCell ref="K8:N8"/>
    <mergeCell ref="O8:P8"/>
    <mergeCell ref="X8:Y9"/>
    <mergeCell ref="G5:I6"/>
    <mergeCell ref="J5:P6"/>
    <mergeCell ref="J1:P2"/>
    <mergeCell ref="Q1:R1"/>
    <mergeCell ref="Q2:R2"/>
    <mergeCell ref="G3:I4"/>
    <mergeCell ref="J3:P4"/>
    <mergeCell ref="Q3:R3"/>
  </mergeCells>
  <conditionalFormatting sqref="AB13">
    <cfRule type="expression" dxfId="228" priority="6" stopIfTrue="1">
      <formula>$J3="PREPA"</formula>
    </cfRule>
  </conditionalFormatting>
  <conditionalFormatting sqref="Q5 W11:W204 S10:W10 S138:S331 V138:V331 S11:V137">
    <cfRule type="expression" dxfId="227" priority="344" stopIfTrue="1">
      <formula>#REF!="PREPA"</formula>
    </cfRule>
  </conditionalFormatting>
  <conditionalFormatting sqref="B11:R11 B10 B13:R76 B12 B78:R78 B77 B80:R89 B79 B91:R102 B90 B104:R106 B103 B108:R111 B107 B113:R115 B112 B117:R118 B116">
    <cfRule type="expression" dxfId="226" priority="2" stopIfTrue="1">
      <formula>$J10="PREPA"</formula>
    </cfRule>
  </conditionalFormatting>
  <conditionalFormatting sqref="L11 L13:L76 L78 L80:L89 L91:L102 L104:L106 L108:L111 L113:L115 L117:L118">
    <cfRule type="expression" dxfId="225" priority="3" stopIfTrue="1">
      <formula>$J11="PREPA"</formula>
    </cfRule>
  </conditionalFormatting>
  <conditionalFormatting sqref="K11 K13:K76 K78 K80:K89 K91:K102 K104:K106 K108:K111 K113:K115 K117:K118">
    <cfRule type="expression" dxfId="224" priority="4" stopIfTrue="1">
      <formula>$J11="PREPA"</formula>
    </cfRule>
  </conditionalFormatting>
  <conditionalFormatting sqref="M11 M13:M76 M78 M80:M89 M91:M102 M104:M106 M108:M111 M113:M115 M117:M118">
    <cfRule type="expression" dxfId="223" priority="1" stopIfTrue="1">
      <formula>$J11="PREPA"</formula>
    </cfRule>
  </conditionalFormatting>
  <conditionalFormatting sqref="F11 F13:F76 F78 F80:F89 F91:F102 F104:F106 F108:F111 F113:F115 F117:F118">
    <cfRule type="expression" dxfId="222" priority="5" stopIfTrue="1">
      <formula>$J11="PREPA"</formula>
    </cfRule>
  </conditionalFormatting>
  <printOptions horizontalCentered="1"/>
  <pageMargins left="3.937007874015748E-2" right="3.937007874015748E-2" top="3.937007874015748E-2" bottom="3.937007874015748E-2" header="0.31496062992125984" footer="0.31496062992125984"/>
  <pageSetup paperSize="8" scale="95"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CA14-2F74-4DBD-9C07-76EE633D8CEC}">
  <sheetPr codeName="Feuil28"/>
  <dimension ref="A1:AE1021"/>
  <sheetViews>
    <sheetView topLeftCell="A273" zoomScale="148" zoomScaleNormal="148" workbookViewId="0">
      <selection activeCell="A183" sqref="A183:A187"/>
    </sheetView>
  </sheetViews>
  <sheetFormatPr defaultColWidth="11.453125" defaultRowHeight="15.65" customHeight="1"/>
  <cols>
    <col min="1" max="1" width="12" style="23" customWidth="1"/>
    <col min="2" max="2" width="3.08984375" style="23" customWidth="1"/>
    <col min="3" max="4" width="10.453125" style="23" customWidth="1"/>
    <col min="5" max="5" width="3.08984375" style="23" customWidth="1"/>
    <col min="6" max="6" width="12" style="23" customWidth="1"/>
    <col min="7" max="7" width="0.453125" style="23" customWidth="1"/>
    <col min="8" max="8" width="12" style="23" customWidth="1"/>
    <col min="9" max="9" width="3.08984375" style="23" customWidth="1"/>
    <col min="10" max="11" width="10.453125" style="23" customWidth="1"/>
    <col min="12" max="12" width="3.08984375" style="23" customWidth="1"/>
    <col min="13" max="13" width="12" style="23" customWidth="1"/>
    <col min="14" max="14" width="0.453125" style="23" customWidth="1"/>
    <col min="15" max="16384" width="11.453125" style="23"/>
  </cols>
  <sheetData>
    <row r="1" spans="1:31" ht="3" customHeight="1">
      <c r="A1" s="58"/>
      <c r="B1" s="58"/>
      <c r="C1" s="58"/>
      <c r="D1" s="58"/>
      <c r="E1" s="58"/>
      <c r="F1" s="58"/>
      <c r="G1" s="58"/>
      <c r="H1" s="58"/>
      <c r="I1" s="58"/>
      <c r="J1" s="58"/>
      <c r="K1" s="58"/>
      <c r="L1" s="58"/>
      <c r="M1" s="58"/>
      <c r="N1" s="58"/>
    </row>
    <row r="2" spans="1:31" ht="15" customHeight="1">
      <c r="A2" s="94" t="s">
        <v>521</v>
      </c>
      <c r="B2" s="181" t="s">
        <v>601</v>
      </c>
      <c r="C2" s="181"/>
      <c r="D2" s="182"/>
      <c r="E2" s="182"/>
      <c r="F2" s="93" t="s">
        <v>522</v>
      </c>
      <c r="H2" s="94" t="s">
        <v>521</v>
      </c>
      <c r="I2" s="181" t="s">
        <v>604</v>
      </c>
      <c r="J2" s="181"/>
      <c r="K2" s="182"/>
      <c r="L2" s="182"/>
      <c r="M2" s="93" t="s">
        <v>522</v>
      </c>
      <c r="O2" s="94"/>
      <c r="P2" s="181"/>
      <c r="Q2" s="181"/>
      <c r="R2" s="182"/>
      <c r="S2" s="182"/>
      <c r="T2" s="93"/>
    </row>
    <row r="3" spans="1:31" ht="15" customHeight="1">
      <c r="A3" s="183" t="e">
        <f>_xlfn.IMAGE("https://quickchart.io/qr?text=_23_1OP")</f>
        <v>#VALUE!</v>
      </c>
      <c r="B3" s="185" t="s">
        <v>564</v>
      </c>
      <c r="C3" s="179" t="s">
        <v>564</v>
      </c>
      <c r="D3" s="180"/>
      <c r="E3" s="186" t="s">
        <v>564</v>
      </c>
      <c r="F3" s="168"/>
      <c r="H3" s="183" t="e">
        <f>_xlfn.IMAGE("https://quickchart.io/qr?text=_213_1OP")</f>
        <v>#VALUE!</v>
      </c>
      <c r="I3" s="187"/>
      <c r="J3" s="188"/>
      <c r="K3" s="189"/>
      <c r="L3" s="167"/>
      <c r="M3" s="168"/>
      <c r="O3" s="183"/>
      <c r="P3" s="187"/>
      <c r="Q3" s="188"/>
      <c r="R3" s="189"/>
      <c r="S3" s="167"/>
      <c r="T3" s="168"/>
      <c r="W3" s="169" t="s">
        <v>55</v>
      </c>
      <c r="X3" s="170"/>
      <c r="Z3" s="142" t="s">
        <v>4</v>
      </c>
      <c r="AA3" s="143"/>
      <c r="AB3" s="143"/>
      <c r="AC3" s="143"/>
      <c r="AD3" s="143"/>
      <c r="AE3" s="144"/>
    </row>
    <row r="4" spans="1:31" ht="15" customHeight="1">
      <c r="A4" s="184"/>
      <c r="B4" s="185"/>
      <c r="C4" s="173"/>
      <c r="D4" s="174"/>
      <c r="E4" s="186"/>
      <c r="F4" s="168"/>
      <c r="H4" s="184"/>
      <c r="I4" s="187"/>
      <c r="J4" s="173"/>
      <c r="K4" s="174"/>
      <c r="L4" s="167"/>
      <c r="M4" s="168"/>
      <c r="O4" s="184"/>
      <c r="P4" s="187"/>
      <c r="Q4" s="173"/>
      <c r="R4" s="174"/>
      <c r="S4" s="167"/>
      <c r="T4" s="168"/>
      <c r="W4" s="171"/>
      <c r="X4" s="172"/>
      <c r="Z4" s="49" t="s">
        <v>157</v>
      </c>
    </row>
    <row r="5" spans="1:31" ht="15" customHeight="1">
      <c r="A5" s="184"/>
      <c r="B5" s="185"/>
      <c r="C5" s="175"/>
      <c r="D5" s="176"/>
      <c r="E5" s="186"/>
      <c r="F5" s="168"/>
      <c r="H5" s="184"/>
      <c r="I5" s="187"/>
      <c r="J5" s="175"/>
      <c r="K5" s="176"/>
      <c r="L5" s="167"/>
      <c r="M5" s="168"/>
      <c r="O5" s="184"/>
      <c r="P5" s="187"/>
      <c r="Q5" s="175"/>
      <c r="R5" s="176"/>
      <c r="S5" s="167"/>
      <c r="T5" s="168"/>
      <c r="W5" s="32" t="s">
        <v>170</v>
      </c>
      <c r="X5" s="32">
        <v>2</v>
      </c>
      <c r="Z5" s="32" t="s">
        <v>156</v>
      </c>
    </row>
    <row r="6" spans="1:31" ht="15" customHeight="1">
      <c r="A6" s="184"/>
      <c r="B6" s="185"/>
      <c r="C6" s="175"/>
      <c r="D6" s="176"/>
      <c r="E6" s="186"/>
      <c r="F6" s="168"/>
      <c r="H6" s="184"/>
      <c r="I6" s="187"/>
      <c r="J6" s="175"/>
      <c r="K6" s="176"/>
      <c r="L6" s="167"/>
      <c r="M6" s="168"/>
      <c r="O6" s="184"/>
      <c r="P6" s="187"/>
      <c r="Q6" s="175"/>
      <c r="R6" s="176"/>
      <c r="S6" s="167"/>
      <c r="T6" s="168"/>
      <c r="W6" s="32" t="s">
        <v>171</v>
      </c>
      <c r="X6" s="32">
        <v>0</v>
      </c>
    </row>
    <row r="7" spans="1:31" ht="15" customHeight="1">
      <c r="A7" s="184"/>
      <c r="B7" s="185"/>
      <c r="C7" s="177"/>
      <c r="D7" s="178"/>
      <c r="E7" s="186"/>
      <c r="F7" s="168"/>
      <c r="H7" s="184"/>
      <c r="I7" s="187"/>
      <c r="J7" s="177"/>
      <c r="K7" s="178"/>
      <c r="L7" s="167"/>
      <c r="M7" s="168"/>
      <c r="O7" s="184"/>
      <c r="P7" s="187"/>
      <c r="Q7" s="177"/>
      <c r="R7" s="178"/>
      <c r="S7" s="167"/>
      <c r="T7" s="168"/>
      <c r="W7" s="32" t="s">
        <v>183</v>
      </c>
      <c r="X7" s="32">
        <v>0</v>
      </c>
    </row>
    <row r="8" spans="1:31" ht="15" customHeight="1">
      <c r="A8" s="75"/>
      <c r="B8" s="185"/>
      <c r="C8" s="179" t="s">
        <v>564</v>
      </c>
      <c r="D8" s="180"/>
      <c r="E8" s="186"/>
      <c r="F8" s="91"/>
      <c r="H8" s="75"/>
      <c r="I8" s="187"/>
      <c r="J8" s="164" t="s">
        <v>564</v>
      </c>
      <c r="K8" s="166"/>
      <c r="L8" s="167"/>
      <c r="M8" s="91"/>
      <c r="O8" s="75"/>
      <c r="P8" s="187"/>
      <c r="Q8" s="164"/>
      <c r="R8" s="166"/>
      <c r="S8" s="167"/>
      <c r="T8" s="91"/>
    </row>
    <row r="9" spans="1:31" ht="15" customHeight="1">
      <c r="A9" s="164" t="s">
        <v>818</v>
      </c>
      <c r="B9" s="165"/>
      <c r="C9" s="166"/>
      <c r="D9" s="164" t="s">
        <v>565</v>
      </c>
      <c r="E9" s="165"/>
      <c r="F9" s="166"/>
      <c r="H9" s="164" t="s">
        <v>820</v>
      </c>
      <c r="I9" s="165"/>
      <c r="J9" s="166"/>
      <c r="K9" s="164" t="s">
        <v>575</v>
      </c>
      <c r="L9" s="165"/>
      <c r="M9" s="166"/>
      <c r="O9" s="164"/>
      <c r="P9" s="165"/>
      <c r="Q9" s="166"/>
      <c r="R9" s="164"/>
      <c r="S9" s="165"/>
      <c r="T9" s="166"/>
    </row>
    <row r="10" spans="1:31" ht="15" customHeight="1">
      <c r="A10" s="164" t="s">
        <v>819</v>
      </c>
      <c r="B10" s="165"/>
      <c r="C10" s="166"/>
      <c r="D10" s="164" t="s">
        <v>600</v>
      </c>
      <c r="E10" s="165"/>
      <c r="F10" s="166"/>
      <c r="G10" s="92"/>
      <c r="H10" s="164" t="s">
        <v>574</v>
      </c>
      <c r="I10" s="165"/>
      <c r="J10" s="166"/>
      <c r="K10" s="164" t="s">
        <v>603</v>
      </c>
      <c r="L10" s="165"/>
      <c r="M10" s="166"/>
      <c r="O10" s="164"/>
      <c r="P10" s="165"/>
      <c r="Q10" s="166"/>
      <c r="R10" s="164"/>
      <c r="S10" s="165"/>
      <c r="T10" s="166"/>
    </row>
    <row r="11" spans="1:31" ht="3" customHeight="1">
      <c r="A11" s="58"/>
      <c r="B11" s="58"/>
      <c r="C11" s="58"/>
      <c r="D11" s="58"/>
      <c r="E11" s="58"/>
      <c r="F11" s="58"/>
      <c r="G11" s="58"/>
      <c r="H11" s="58"/>
      <c r="I11" s="58"/>
      <c r="J11" s="58"/>
      <c r="K11" s="58"/>
      <c r="L11" s="58"/>
      <c r="M11" s="58"/>
      <c r="N11" s="58"/>
    </row>
    <row r="12" spans="1:31" ht="15" customHeight="1">
      <c r="A12" s="94" t="s">
        <v>521</v>
      </c>
      <c r="B12" s="181" t="s">
        <v>606</v>
      </c>
      <c r="C12" s="181"/>
      <c r="D12" s="182"/>
      <c r="E12" s="182"/>
      <c r="F12" s="93" t="s">
        <v>522</v>
      </c>
      <c r="H12" s="94" t="s">
        <v>521</v>
      </c>
      <c r="I12" s="181" t="s">
        <v>608</v>
      </c>
      <c r="J12" s="181"/>
      <c r="K12" s="182"/>
      <c r="L12" s="182"/>
      <c r="M12" s="93" t="s">
        <v>522</v>
      </c>
    </row>
    <row r="13" spans="1:31" ht="15" customHeight="1">
      <c r="A13" s="183" t="e">
        <f>_xlfn.IMAGE("https://quickchart.io/qr?text=_216_1OP")</f>
        <v>#VALUE!</v>
      </c>
      <c r="B13" s="185"/>
      <c r="C13" s="179"/>
      <c r="D13" s="180"/>
      <c r="E13" s="186"/>
      <c r="F13" s="168"/>
      <c r="H13" s="183" t="e">
        <f>_xlfn.IMAGE("https://quickchart.io/qr?text=_226_1OP")</f>
        <v>#VALUE!</v>
      </c>
      <c r="I13" s="187" t="s">
        <v>564</v>
      </c>
      <c r="J13" s="188"/>
      <c r="K13" s="189"/>
      <c r="L13" s="167" t="s">
        <v>564</v>
      </c>
      <c r="M13" s="168"/>
    </row>
    <row r="14" spans="1:31" ht="15" customHeight="1">
      <c r="A14" s="184"/>
      <c r="B14" s="185"/>
      <c r="C14" s="173"/>
      <c r="D14" s="174"/>
      <c r="E14" s="186"/>
      <c r="F14" s="168"/>
      <c r="H14" s="184"/>
      <c r="I14" s="187"/>
      <c r="J14" s="173"/>
      <c r="K14" s="174"/>
      <c r="L14" s="167"/>
      <c r="M14" s="168"/>
    </row>
    <row r="15" spans="1:31" ht="15" customHeight="1">
      <c r="A15" s="184"/>
      <c r="B15" s="185"/>
      <c r="C15" s="175"/>
      <c r="D15" s="176"/>
      <c r="E15" s="186"/>
      <c r="F15" s="168"/>
      <c r="H15" s="184"/>
      <c r="I15" s="187"/>
      <c r="J15" s="175"/>
      <c r="K15" s="176"/>
      <c r="L15" s="167"/>
      <c r="M15" s="168"/>
    </row>
    <row r="16" spans="1:31" ht="15" customHeight="1">
      <c r="A16" s="184"/>
      <c r="B16" s="185"/>
      <c r="C16" s="175"/>
      <c r="D16" s="176"/>
      <c r="E16" s="186"/>
      <c r="F16" s="168"/>
      <c r="H16" s="184"/>
      <c r="I16" s="187"/>
      <c r="J16" s="175"/>
      <c r="K16" s="176"/>
      <c r="L16" s="167"/>
      <c r="M16" s="168"/>
    </row>
    <row r="17" spans="1:14" ht="15" customHeight="1">
      <c r="A17" s="184"/>
      <c r="B17" s="185"/>
      <c r="C17" s="177"/>
      <c r="D17" s="178"/>
      <c r="E17" s="186"/>
      <c r="F17" s="168"/>
      <c r="H17" s="184"/>
      <c r="I17" s="187"/>
      <c r="J17" s="177"/>
      <c r="K17" s="178"/>
      <c r="L17" s="167"/>
      <c r="M17" s="168"/>
    </row>
    <row r="18" spans="1:14" ht="15" customHeight="1">
      <c r="A18" s="75"/>
      <c r="B18" s="185"/>
      <c r="C18" s="179" t="s">
        <v>564</v>
      </c>
      <c r="D18" s="180"/>
      <c r="E18" s="186"/>
      <c r="F18" s="91"/>
      <c r="H18" s="75"/>
      <c r="I18" s="187"/>
      <c r="J18" s="164" t="s">
        <v>564</v>
      </c>
      <c r="K18" s="166"/>
      <c r="L18" s="167"/>
      <c r="M18" s="91"/>
    </row>
    <row r="19" spans="1:14" ht="15" customHeight="1">
      <c r="A19" s="164" t="s">
        <v>820</v>
      </c>
      <c r="B19" s="165"/>
      <c r="C19" s="166"/>
      <c r="D19" s="164" t="s">
        <v>579</v>
      </c>
      <c r="E19" s="165"/>
      <c r="F19" s="166"/>
      <c r="H19" s="164" t="s">
        <v>821</v>
      </c>
      <c r="I19" s="165"/>
      <c r="J19" s="166"/>
      <c r="K19" s="164" t="s">
        <v>589</v>
      </c>
      <c r="L19" s="165"/>
      <c r="M19" s="166"/>
    </row>
    <row r="20" spans="1:14" ht="15" customHeight="1">
      <c r="A20" s="164" t="s">
        <v>574</v>
      </c>
      <c r="B20" s="165"/>
      <c r="C20" s="166"/>
      <c r="D20" s="164" t="s">
        <v>605</v>
      </c>
      <c r="E20" s="165"/>
      <c r="F20" s="166"/>
      <c r="G20" s="92"/>
      <c r="H20" s="164" t="s">
        <v>574</v>
      </c>
      <c r="I20" s="165"/>
      <c r="J20" s="166"/>
      <c r="K20" s="164" t="s">
        <v>607</v>
      </c>
      <c r="L20" s="165"/>
      <c r="M20" s="166"/>
    </row>
  </sheetData>
  <mergeCells count="62">
    <mergeCell ref="C8:D8"/>
    <mergeCell ref="H9:J9"/>
    <mergeCell ref="K9:M9"/>
    <mergeCell ref="A10:C10"/>
    <mergeCell ref="D10:F10"/>
    <mergeCell ref="M13:M17"/>
    <mergeCell ref="J14:K17"/>
    <mergeCell ref="J18:K18"/>
    <mergeCell ref="H19:J19"/>
    <mergeCell ref="K19:M19"/>
    <mergeCell ref="H20:J20"/>
    <mergeCell ref="K20:M20"/>
    <mergeCell ref="A19:C19"/>
    <mergeCell ref="D19:F19"/>
    <mergeCell ref="A20:C20"/>
    <mergeCell ref="D20:F20"/>
    <mergeCell ref="I12:L12"/>
    <mergeCell ref="H13:H17"/>
    <mergeCell ref="I13:I18"/>
    <mergeCell ref="J13:K13"/>
    <mergeCell ref="L13:L18"/>
    <mergeCell ref="H10:J10"/>
    <mergeCell ref="K10:M10"/>
    <mergeCell ref="B12:E12"/>
    <mergeCell ref="A13:A17"/>
    <mergeCell ref="B13:B18"/>
    <mergeCell ref="C13:D13"/>
    <mergeCell ref="E13:E18"/>
    <mergeCell ref="F13:F17"/>
    <mergeCell ref="C14:D17"/>
    <mergeCell ref="C18:D18"/>
    <mergeCell ref="I2:L2"/>
    <mergeCell ref="H3:H7"/>
    <mergeCell ref="I3:I8"/>
    <mergeCell ref="J3:K3"/>
    <mergeCell ref="L3:L8"/>
    <mergeCell ref="M3:M7"/>
    <mergeCell ref="J4:K7"/>
    <mergeCell ref="J8:K8"/>
    <mergeCell ref="A9:C9"/>
    <mergeCell ref="D9:F9"/>
    <mergeCell ref="B2:E2"/>
    <mergeCell ref="A3:A7"/>
    <mergeCell ref="B3:B8"/>
    <mergeCell ref="C3:D3"/>
    <mergeCell ref="E3:E8"/>
    <mergeCell ref="F3:F7"/>
    <mergeCell ref="C4:D7"/>
    <mergeCell ref="O9:Q9"/>
    <mergeCell ref="R9:T9"/>
    <mergeCell ref="O10:Q10"/>
    <mergeCell ref="R10:T10"/>
    <mergeCell ref="S3:S8"/>
    <mergeCell ref="T3:T7"/>
    <mergeCell ref="W3:X4"/>
    <mergeCell ref="Z3:AE3"/>
    <mergeCell ref="Q4:R7"/>
    <mergeCell ref="Q8:R8"/>
    <mergeCell ref="P2:S2"/>
    <mergeCell ref="O3:O7"/>
    <mergeCell ref="P3:P8"/>
    <mergeCell ref="Q3:R3"/>
  </mergeCells>
  <conditionalFormatting sqref="O8">
    <cfRule type="expression" dxfId="221" priority="512" stopIfTrue="1">
      <formula>#REF!="PREPA"</formula>
    </cfRule>
  </conditionalFormatting>
  <conditionalFormatting sqref="S3:T3">
    <cfRule type="expression" dxfId="220" priority="545" stopIfTrue="1">
      <formula>#REF!="PREPA"</formula>
    </cfRule>
  </conditionalFormatting>
  <conditionalFormatting sqref="E3:F3">
    <cfRule type="expression" dxfId="219" priority="200" stopIfTrue="1">
      <formula>$E2="PREPA"</formula>
    </cfRule>
  </conditionalFormatting>
  <conditionalFormatting sqref="A8">
    <cfRule type="expression" dxfId="218" priority="199" stopIfTrue="1">
      <formula>$E1048576="PREPA"</formula>
    </cfRule>
  </conditionalFormatting>
  <conditionalFormatting sqref="L3:M3">
    <cfRule type="expression" dxfId="217" priority="198" stopIfTrue="1">
      <formula>$E2="PREPA"</formula>
    </cfRule>
  </conditionalFormatting>
  <conditionalFormatting sqref="H8">
    <cfRule type="expression" dxfId="216" priority="197" stopIfTrue="1">
      <formula>$E1048576="PREPA"</formula>
    </cfRule>
  </conditionalFormatting>
  <conditionalFormatting sqref="E13:F13">
    <cfRule type="expression" dxfId="215" priority="196" stopIfTrue="1">
      <formula>$E12="PREPA"</formula>
    </cfRule>
  </conditionalFormatting>
  <conditionalFormatting sqref="A18">
    <cfRule type="expression" dxfId="214" priority="195" stopIfTrue="1">
      <formula>$E10="PREPA"</formula>
    </cfRule>
  </conditionalFormatting>
  <conditionalFormatting sqref="L13:M13">
    <cfRule type="expression" dxfId="213" priority="194" stopIfTrue="1">
      <formula>$E12="PREPA"</formula>
    </cfRule>
  </conditionalFormatting>
  <conditionalFormatting sqref="H18">
    <cfRule type="expression" dxfId="212" priority="193" stopIfTrue="1">
      <formula>$E10="PREPA"</formula>
    </cfRule>
  </conditionalFormatting>
  <printOptions horizontalCentered="1"/>
  <pageMargins left="3.937007874015748E-2" right="3.937007874015748E-2" top="3.937007874015748E-2" bottom="3.937007874015748E-2" header="0.31496062992125984" footer="0.31496062992125984"/>
  <pageSetup paperSize="9" orientation="portrait" r:id="rId1"/>
  <colBreaks count="1" manualBreakCount="1">
    <brk id="7"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FBFCE-5953-4A03-9385-33E96BA64599}">
  <sheetPr codeName="Feuil27"/>
  <dimension ref="B1:S56"/>
  <sheetViews>
    <sheetView workbookViewId="0">
      <selection activeCell="A3" sqref="A3"/>
    </sheetView>
  </sheetViews>
  <sheetFormatPr defaultColWidth="11.453125" defaultRowHeight="60" customHeight="1"/>
  <cols>
    <col min="1" max="1" width="8.984375E-2" customWidth="1"/>
    <col min="2" max="2" width="24" customWidth="1"/>
    <col min="3" max="3" width="21.08984375" customWidth="1"/>
    <col min="4" max="5" width="12.90625" style="1" customWidth="1"/>
    <col min="6" max="6" width="4.90625" bestFit="1" customWidth="1"/>
    <col min="7" max="7" width="8.6328125" customWidth="1"/>
    <col min="8" max="8" width="13.453125" customWidth="1"/>
    <col min="9" max="9" width="8.984375E-2" customWidth="1"/>
  </cols>
  <sheetData>
    <row r="1" spans="2:19" ht="18">
      <c r="G1" s="126" t="str">
        <f>VLOOKUP(": Date",Tp_LANGUAGE!$A$2:$Z$1001,MATCH(Tp_Global!$J$6,Tp_LANGUAGE!$A$1:$Z$1,0),FALSE)</f>
        <v>: Date</v>
      </c>
      <c r="H1" s="126"/>
    </row>
    <row r="2" spans="2:19" ht="18">
      <c r="G2" s="126" t="str">
        <f>VLOOKUP(": Ref Company",Tp_LANGUAGE!$A$2:$Z$1001,MATCH(Tp_Global!$J$6,Tp_LANGUAGE!$A$1:$Z$1,0),FALSE)</f>
        <v>: Ref Company</v>
      </c>
      <c r="H2" s="126"/>
    </row>
    <row r="3" spans="2:19" ht="18">
      <c r="G3" s="126" t="str">
        <f>VLOOKUP(": Ref Customer",Tp_LANGUAGE!$A$2:$Z$1001,MATCH(Tp_Global!$J$6,Tp_LANGUAGE!$A$1:$Z$1,0),FALSE)</f>
        <v>: Ref Customer</v>
      </c>
      <c r="H3" s="126"/>
    </row>
    <row r="4" spans="2:19" ht="12" customHeight="1"/>
    <row r="5" spans="2:19" ht="60" customHeight="1">
      <c r="C5" s="190" t="str">
        <f>VLOOKUP("Hardwares",Tp_LANGUAGE!$A$2:$Z$1001,MATCH(Tp_Global!$J$6,Tp_LANGUAGE!$A$1:$Z$1,0),FALSE)</f>
        <v>Hardwares</v>
      </c>
      <c r="D5" s="190"/>
      <c r="E5" s="190"/>
      <c r="F5" s="190"/>
    </row>
    <row r="6" spans="2:19" ht="15.75" customHeight="1" thickBot="1">
      <c r="D6"/>
      <c r="E6"/>
      <c r="G6" s="191"/>
      <c r="H6" s="191"/>
      <c r="K6" s="163" t="s">
        <v>55</v>
      </c>
      <c r="L6" s="163"/>
      <c r="N6" s="142" t="s">
        <v>4</v>
      </c>
      <c r="O6" s="143"/>
      <c r="P6" s="143"/>
      <c r="Q6" s="143"/>
      <c r="R6" s="143"/>
      <c r="S6" s="144"/>
    </row>
    <row r="7" spans="2:19" ht="60.75" customHeight="1" thickBot="1">
      <c r="B7" s="41" t="str">
        <f>VLOOKUP("Picture",Tp_LANGUAGE!$A$2:$Z$1001,MATCH(Tp_Global!$J$6,Tp_LANGUAGE!$A$1:$Z$1,0),FALSE)</f>
        <v>Picture</v>
      </c>
      <c r="C7" s="41" t="str">
        <f>VLOOKUP("Name",Tp_LANGUAGE!$A$2:$Z$1001,MATCH(Tp_Global!$J$6,Tp_LANGUAGE!$A$1:$Z$1,0),FALSE)</f>
        <v>Name</v>
      </c>
      <c r="D7" s="41" t="str">
        <f>VLOOKUP("Supplier",Tp_LANGUAGE!$A$2:$Z$1001,MATCH(Tp_Global!$J$6,Tp_LANGUAGE!$A$1:$Z$1,0),FALSE)</f>
        <v>Supplier</v>
      </c>
      <c r="E7" s="41" t="str">
        <f>VLOOKUP("Supplier Ref",Tp_LANGUAGE!$A$2:$Z$1001,MATCH(Tp_Global!$J$6,Tp_LANGUAGE!$A$1:$Z$1,0),FALSE)</f>
        <v>Supplier Ref</v>
      </c>
      <c r="F7" s="42" t="str">
        <f>VLOOKUP("Qty",Tp_LANGUAGE!$A$2:$Z$1001,MATCH(Tp_Global!$J$6,Tp_LANGUAGE!$A$1:$Z$1,0),FALSE)</f>
        <v>Qty</v>
      </c>
      <c r="G7" s="41" t="str">
        <f>VLOOKUP("Unit Cost",Tp_LANGUAGE!$A$2:$Z$1001,MATCH(Tp_Global!$J$6,Tp_LANGUAGE!$A$1:$Z$1,0),FALSE)</f>
        <v>Unit Cost</v>
      </c>
      <c r="H7" s="42" t="str">
        <f>VLOOKUP("Total Cost",Tp_LANGUAGE!$A$2:$Z$1001,MATCH(Tp_Global!$J$6,Tp_LANGUAGE!$A$1:$Z$1,0),FALSE)</f>
        <v>Total Cost</v>
      </c>
      <c r="K7" s="163"/>
      <c r="L7" s="163"/>
      <c r="N7" s="38" t="s">
        <v>155</v>
      </c>
    </row>
    <row r="8" spans="2:19" ht="15" customHeight="1">
      <c r="B8" s="15"/>
      <c r="C8" s="19" t="s">
        <v>544</v>
      </c>
      <c r="D8" s="35" t="s">
        <v>543</v>
      </c>
      <c r="E8" s="35">
        <v>13962</v>
      </c>
      <c r="F8" s="6">
        <v>12</v>
      </c>
      <c r="G8" s="16">
        <v>0</v>
      </c>
      <c r="H8" s="16" t="str">
        <f>VLOOKUP("F",Tp_LANGUAGE!$A$2:$Z$1001,MATCH(Tp_Global!$J$6,Tp_LANGUAGE!$A$1:$Z$1,0),FALSE)</f>
        <v>F</v>
      </c>
      <c r="K8" s="15" t="s">
        <v>170</v>
      </c>
      <c r="L8" s="15">
        <v>1</v>
      </c>
      <c r="N8" s="15"/>
    </row>
    <row r="9" spans="2:19" ht="15" customHeight="1">
      <c r="B9" s="15"/>
      <c r="C9" s="19" t="s">
        <v>558</v>
      </c>
      <c r="D9" s="35" t="s">
        <v>546</v>
      </c>
      <c r="E9" s="35" t="s">
        <v>559</v>
      </c>
      <c r="F9" s="6">
        <v>16</v>
      </c>
      <c r="G9" s="16">
        <v>0</v>
      </c>
      <c r="H9" s="16" t="str">
        <f>VLOOKUP("F",Tp_LANGUAGE!$A$2:$Z$1001,MATCH(Tp_Global!$J$6,Tp_LANGUAGE!$A$1:$Z$1,0),FALSE)</f>
        <v>F</v>
      </c>
      <c r="K9" s="15" t="s">
        <v>171</v>
      </c>
      <c r="L9" s="15">
        <v>0</v>
      </c>
      <c r="N9" s="15"/>
    </row>
    <row r="10" spans="2:19" ht="15" customHeight="1">
      <c r="B10" s="15"/>
      <c r="C10" s="19" t="s">
        <v>560</v>
      </c>
      <c r="D10" s="35"/>
      <c r="E10" s="35"/>
      <c r="F10" s="6">
        <v>16</v>
      </c>
      <c r="G10" s="16">
        <v>0</v>
      </c>
      <c r="H10" s="16" t="str">
        <f>VLOOKUP("F",Tp_LANGUAGE!$A$2:$Z$1001,MATCH(Tp_Global!$J$6,Tp_LANGUAGE!$A$1:$Z$1,0),FALSE)</f>
        <v>F</v>
      </c>
      <c r="K10" s="15" t="s">
        <v>183</v>
      </c>
      <c r="L10" s="15">
        <v>0</v>
      </c>
      <c r="N10" s="15">
        <v>0</v>
      </c>
    </row>
  </sheetData>
  <mergeCells count="7">
    <mergeCell ref="N6:S6"/>
    <mergeCell ref="G1:H1"/>
    <mergeCell ref="G2:H2"/>
    <mergeCell ref="G3:H3"/>
    <mergeCell ref="C5:F5"/>
    <mergeCell ref="G6:H6"/>
    <mergeCell ref="K6:L7"/>
  </mergeCells>
  <printOptions horizontalCentered="1"/>
  <pageMargins left="3.937007874015748E-2" right="3.937007874015748E-2" top="3.937007874015748E-2" bottom="3.937007874015748E-2" header="0.31496062992125984" footer="0.31496062992125984"/>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09A48-916E-4A2A-9FC4-8392362F1283}">
  <sheetPr codeName="Feuil26"/>
  <dimension ref="B1:S56"/>
  <sheetViews>
    <sheetView workbookViewId="0">
      <selection activeCell="B43" sqref="B43"/>
    </sheetView>
  </sheetViews>
  <sheetFormatPr defaultColWidth="11.453125" defaultRowHeight="60" customHeight="1"/>
  <cols>
    <col min="1" max="1" width="8.984375E-2" customWidth="1"/>
    <col min="2" max="2" width="24" customWidth="1"/>
    <col min="3" max="3" width="21.08984375" customWidth="1"/>
    <col min="4" max="5" width="12.90625" style="1" customWidth="1"/>
    <col min="6" max="6" width="4.90625" bestFit="1" customWidth="1"/>
    <col min="7" max="7" width="8.6328125" customWidth="1"/>
    <col min="8" max="8" width="13.453125" customWidth="1"/>
    <col min="9" max="9" width="8.984375E-2" customWidth="1"/>
  </cols>
  <sheetData>
    <row r="1" spans="2:19" ht="18">
      <c r="G1" s="126" t="s">
        <v>415</v>
      </c>
      <c r="H1" s="126"/>
    </row>
    <row r="2" spans="2:19" ht="18">
      <c r="G2" s="126" t="s">
        <v>78</v>
      </c>
      <c r="H2" s="126"/>
    </row>
    <row r="3" spans="2:19" ht="18">
      <c r="G3" s="126" t="s">
        <v>79</v>
      </c>
      <c r="H3" s="126"/>
    </row>
    <row r="4" spans="2:19" ht="12" customHeight="1"/>
    <row r="5" spans="2:19" ht="60" customHeight="1">
      <c r="C5" s="190" t="s">
        <v>96</v>
      </c>
      <c r="D5" s="190"/>
      <c r="E5" s="190"/>
      <c r="F5" s="190"/>
    </row>
    <row r="6" spans="2:19" ht="15.75" customHeight="1" thickBot="1">
      <c r="D6"/>
      <c r="E6"/>
      <c r="G6" s="191"/>
      <c r="H6" s="191"/>
      <c r="K6" s="163" t="s">
        <v>55</v>
      </c>
      <c r="L6" s="163"/>
      <c r="N6" s="142" t="s">
        <v>4</v>
      </c>
      <c r="O6" s="143"/>
      <c r="P6" s="143"/>
      <c r="Q6" s="143"/>
      <c r="R6" s="143"/>
      <c r="S6" s="144"/>
    </row>
    <row r="7" spans="2:19" ht="60.75" customHeight="1" thickBot="1">
      <c r="B7" s="41" t="s">
        <v>81</v>
      </c>
      <c r="C7" s="41" t="s">
        <v>97</v>
      </c>
      <c r="D7" s="41" t="s">
        <v>65</v>
      </c>
      <c r="E7" s="41" t="s">
        <v>109</v>
      </c>
      <c r="F7" s="42" t="s">
        <v>98</v>
      </c>
      <c r="G7" s="41" t="s">
        <v>99</v>
      </c>
      <c r="H7" s="42" t="s">
        <v>100</v>
      </c>
      <c r="K7" s="163"/>
      <c r="L7" s="163"/>
      <c r="N7" s="38" t="s">
        <v>155</v>
      </c>
    </row>
    <row r="8" spans="2:19" ht="15" customHeight="1">
      <c r="B8" s="15"/>
      <c r="C8" s="19" t="s">
        <v>544</v>
      </c>
      <c r="D8" s="35" t="s">
        <v>543</v>
      </c>
      <c r="E8" s="35">
        <v>13962</v>
      </c>
      <c r="F8" s="6">
        <v>12</v>
      </c>
      <c r="G8" s="16">
        <v>0</v>
      </c>
      <c r="H8" s="16" t="str">
        <f>VLOOKUP("F",Tp_LANGUAGE!$A$2:$Z$1001,MATCH(Tp_Global!$J$6,Tp_LANGUAGE!$A$1:$Z$1,0),FALSE)</f>
        <v>F</v>
      </c>
      <c r="K8" s="15" t="s">
        <v>170</v>
      </c>
      <c r="L8" s="15">
        <v>1</v>
      </c>
      <c r="N8" s="15"/>
    </row>
    <row r="9" spans="2:19" ht="15" customHeight="1">
      <c r="B9" s="15"/>
      <c r="C9" s="19" t="s">
        <v>558</v>
      </c>
      <c r="D9" s="35" t="s">
        <v>546</v>
      </c>
      <c r="E9" s="35" t="s">
        <v>559</v>
      </c>
      <c r="F9" s="6">
        <v>16</v>
      </c>
      <c r="G9" s="16">
        <v>0</v>
      </c>
      <c r="H9" s="16" t="str">
        <f>VLOOKUP("F",Tp_LANGUAGE!$A$2:$Z$1001,MATCH(Tp_Global!$J$6,Tp_LANGUAGE!$A$1:$Z$1,0),FALSE)</f>
        <v>F</v>
      </c>
      <c r="K9" s="15" t="s">
        <v>171</v>
      </c>
      <c r="L9" s="15">
        <v>1</v>
      </c>
      <c r="N9" s="15"/>
    </row>
    <row r="10" spans="2:19" ht="15" customHeight="1">
      <c r="B10" s="15"/>
      <c r="C10" s="19" t="s">
        <v>560</v>
      </c>
      <c r="D10" s="35"/>
      <c r="E10" s="35"/>
      <c r="F10" s="6">
        <v>16</v>
      </c>
      <c r="G10" s="16">
        <v>0</v>
      </c>
      <c r="H10" s="16" t="str">
        <f>VLOOKUP("F",Tp_LANGUAGE!$A$2:$Z$1001,MATCH(Tp_Global!$J$6,Tp_LANGUAGE!$A$1:$Z$1,0),FALSE)</f>
        <v>F</v>
      </c>
      <c r="K10" s="15" t="s">
        <v>183</v>
      </c>
      <c r="L10" s="15">
        <v>0</v>
      </c>
      <c r="N10" s="15">
        <v>0</v>
      </c>
    </row>
  </sheetData>
  <mergeCells count="7">
    <mergeCell ref="N6:S6"/>
    <mergeCell ref="G1:H1"/>
    <mergeCell ref="G2:H2"/>
    <mergeCell ref="G3:H3"/>
    <mergeCell ref="C5:F5"/>
    <mergeCell ref="G6:H6"/>
    <mergeCell ref="K6:L7"/>
  </mergeCells>
  <printOptions horizontalCentered="1"/>
  <pageMargins left="3.937007874015748E-2" right="3.937007874015748E-2" top="3.937007874015748E-2" bottom="3.937007874015748E-2" header="0.31496062992125984" footer="0.31496062992125984"/>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172E2-358B-4523-A566-37F2B38EAD17}">
  <sheetPr codeName="Feuil25"/>
  <dimension ref="B1:Y232"/>
  <sheetViews>
    <sheetView topLeftCell="A62" workbookViewId="0">
      <selection activeCell="B309" sqref="B309"/>
    </sheetView>
  </sheetViews>
  <sheetFormatPr defaultColWidth="11.453125" defaultRowHeight="60" customHeight="1"/>
  <cols>
    <col min="1" max="1" width="8.984375E-2" customWidth="1"/>
    <col min="2" max="3" width="28.6328125" customWidth="1"/>
    <col min="4" max="5" width="6.08984375" customWidth="1"/>
    <col min="6" max="8" width="15.90625" style="1" customWidth="1"/>
    <col min="9" max="11" width="6.6328125" customWidth="1"/>
    <col min="12" max="14" width="5.90625" customWidth="1"/>
    <col min="15" max="15" width="8.984375E-2" customWidth="1"/>
  </cols>
  <sheetData>
    <row r="1" spans="2:25" ht="26">
      <c r="B1" s="192" t="str">
        <f>VLOOKUP("Edgebands",Tp_LANGUAGE!$A$2:$Z$999,MATCH(Tp_Global!$J$6,Tp_LANGUAGE!$A$1:$Z$1,0),FALSE)</f>
        <v>Edgebands</v>
      </c>
      <c r="C1" s="192"/>
      <c r="D1" s="192"/>
      <c r="E1" s="192"/>
      <c r="F1" s="192"/>
      <c r="G1" s="192"/>
      <c r="H1" s="192"/>
      <c r="I1" s="192"/>
      <c r="J1" s="192"/>
      <c r="K1" s="192"/>
      <c r="L1" s="192"/>
      <c r="M1" s="39"/>
      <c r="N1" s="39"/>
    </row>
    <row r="2" spans="2:25" ht="25.5" customHeight="1">
      <c r="F2"/>
      <c r="G2"/>
      <c r="H2"/>
      <c r="Q2" s="163" t="s">
        <v>55</v>
      </c>
      <c r="R2" s="163"/>
      <c r="T2" s="142" t="s">
        <v>4</v>
      </c>
      <c r="U2" s="143"/>
      <c r="V2" s="143"/>
      <c r="W2" s="143"/>
      <c r="X2" s="143"/>
      <c r="Y2" s="144"/>
    </row>
    <row r="3" spans="2:25" ht="60.75" customHeight="1">
      <c r="B3" s="20" t="s">
        <v>81</v>
      </c>
      <c r="C3" s="20" t="s">
        <v>82</v>
      </c>
      <c r="D3" s="20" t="s">
        <v>101</v>
      </c>
      <c r="E3" s="20" t="s">
        <v>102</v>
      </c>
      <c r="F3" s="20" t="s">
        <v>0</v>
      </c>
      <c r="G3" s="20" t="s">
        <v>65</v>
      </c>
      <c r="H3" s="20" t="s">
        <v>66</v>
      </c>
      <c r="I3" s="20" t="s">
        <v>87</v>
      </c>
      <c r="J3" s="20" t="s">
        <v>3</v>
      </c>
      <c r="K3" s="20" t="s">
        <v>98</v>
      </c>
      <c r="L3" s="20" t="s">
        <v>69</v>
      </c>
      <c r="M3" s="20" t="s">
        <v>99</v>
      </c>
      <c r="N3" s="20" t="s">
        <v>100</v>
      </c>
      <c r="Q3" s="163"/>
      <c r="R3" s="163"/>
      <c r="T3" s="38" t="s">
        <v>144</v>
      </c>
    </row>
    <row r="4" spans="2:25" ht="15" customHeight="1">
      <c r="B4" s="15"/>
      <c r="C4" s="15" t="s">
        <v>600</v>
      </c>
      <c r="D4" s="9"/>
      <c r="E4" s="9" t="s">
        <v>532</v>
      </c>
      <c r="F4" s="15" t="s">
        <v>537</v>
      </c>
      <c r="G4" s="9"/>
      <c r="H4" s="9"/>
      <c r="I4" s="9">
        <v>3190</v>
      </c>
      <c r="J4" s="9">
        <v>1</v>
      </c>
      <c r="K4" s="9">
        <v>1</v>
      </c>
      <c r="L4" s="17">
        <f>IFERROR((I4)/(1000)*K4,0)</f>
        <v>3.19</v>
      </c>
      <c r="M4" s="17">
        <v>1.5</v>
      </c>
      <c r="N4" s="17">
        <f>IFERROR((L4*M4),0)</f>
        <v>4.7850000000000001</v>
      </c>
      <c r="Q4" s="15" t="s">
        <v>170</v>
      </c>
      <c r="R4" s="15">
        <v>1</v>
      </c>
      <c r="T4" s="15"/>
    </row>
    <row r="5" spans="2:25" ht="15" customHeight="1">
      <c r="B5" s="15"/>
      <c r="C5" s="15" t="s">
        <v>600</v>
      </c>
      <c r="D5" s="9"/>
      <c r="E5" s="9" t="s">
        <v>535</v>
      </c>
      <c r="F5" s="15" t="s">
        <v>537</v>
      </c>
      <c r="G5" s="9"/>
      <c r="H5" s="9"/>
      <c r="I5" s="9">
        <v>3190</v>
      </c>
      <c r="J5" s="9">
        <v>1</v>
      </c>
      <c r="K5" s="9">
        <v>1</v>
      </c>
      <c r="L5" s="17">
        <f>IFERROR((I5)/(1000)*K5,0)</f>
        <v>3.19</v>
      </c>
      <c r="M5" s="17">
        <v>1.5</v>
      </c>
      <c r="N5" s="17">
        <f>IFERROR((L5*M5),0)</f>
        <v>4.7850000000000001</v>
      </c>
      <c r="Q5" s="15" t="s">
        <v>171</v>
      </c>
      <c r="R5" s="15">
        <v>1</v>
      </c>
    </row>
    <row r="6" spans="2:25" ht="15" customHeight="1">
      <c r="B6" s="15"/>
      <c r="C6" s="15" t="s">
        <v>600</v>
      </c>
      <c r="D6" s="9"/>
      <c r="E6" s="9" t="s">
        <v>534</v>
      </c>
      <c r="F6" s="15" t="s">
        <v>537</v>
      </c>
      <c r="G6" s="9"/>
      <c r="H6" s="9"/>
      <c r="I6" s="9">
        <v>600</v>
      </c>
      <c r="J6" s="9">
        <v>1</v>
      </c>
      <c r="K6" s="9">
        <v>1</v>
      </c>
      <c r="L6" s="17">
        <f>IFERROR((I6)/(1000)*K6,0)</f>
        <v>0.6</v>
      </c>
      <c r="M6" s="17">
        <v>1.5</v>
      </c>
      <c r="N6" s="17">
        <f>IFERROR((L6*M6),0)</f>
        <v>0.89999999999999991</v>
      </c>
      <c r="Q6" s="15" t="s">
        <v>183</v>
      </c>
      <c r="R6" s="15">
        <v>0</v>
      </c>
    </row>
  </sheetData>
  <mergeCells count="3">
    <mergeCell ref="B1:L1"/>
    <mergeCell ref="Q2:R3"/>
    <mergeCell ref="T2:Y2"/>
  </mergeCells>
  <printOptions horizontalCentered="1"/>
  <pageMargins left="3.937007874015748E-2" right="3.937007874015748E-2" top="3.937007874015748E-2" bottom="3.937007874015748E-2" header="0.31496062992125984" footer="0.31496062992125984"/>
  <pageSetup paperSize="9"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E4B32-3D2D-409A-840A-4A20FF894023}">
  <sheetPr codeName="Feuil24"/>
  <dimension ref="B1:AE103"/>
  <sheetViews>
    <sheetView topLeftCell="A3" workbookViewId="0">
      <selection activeCell="B131" sqref="B131"/>
    </sheetView>
  </sheetViews>
  <sheetFormatPr defaultColWidth="11.453125" defaultRowHeight="60" customHeight="1"/>
  <cols>
    <col min="1" max="1" width="8.984375E-2" customWidth="1"/>
    <col min="2" max="2" width="25.6328125" customWidth="1"/>
    <col min="3" max="3" width="23.6328125" customWidth="1"/>
    <col min="4" max="5" width="6.08984375" customWidth="1"/>
    <col min="6" max="8" width="15.90625" style="1" customWidth="1"/>
    <col min="9" max="13" width="6.6328125" customWidth="1"/>
    <col min="14" max="18" width="5.90625" customWidth="1"/>
    <col min="19" max="19" width="7.08984375" customWidth="1"/>
    <col min="20" max="20" width="5.90625" customWidth="1"/>
    <col min="21" max="21" width="8.984375E-2" customWidth="1"/>
  </cols>
  <sheetData>
    <row r="1" spans="2:31" ht="26">
      <c r="B1" s="192" t="s">
        <v>68</v>
      </c>
      <c r="C1" s="192"/>
      <c r="D1" s="192"/>
      <c r="E1" s="192"/>
      <c r="F1" s="192"/>
      <c r="G1" s="192"/>
      <c r="H1" s="192"/>
      <c r="I1" s="192"/>
      <c r="J1" s="192"/>
      <c r="K1" s="192"/>
      <c r="L1" s="192"/>
      <c r="M1" s="192"/>
      <c r="N1" s="192"/>
      <c r="O1" s="192"/>
      <c r="P1" s="192"/>
      <c r="Q1" s="192"/>
      <c r="R1" s="192"/>
      <c r="S1" s="192"/>
      <c r="T1" s="192"/>
    </row>
    <row r="2" spans="2:31" ht="25.5" customHeight="1">
      <c r="F2"/>
      <c r="G2"/>
      <c r="H2"/>
      <c r="W2" s="163" t="s">
        <v>55</v>
      </c>
      <c r="X2" s="163"/>
      <c r="Z2" s="142" t="s">
        <v>4</v>
      </c>
      <c r="AA2" s="143"/>
      <c r="AB2" s="143"/>
      <c r="AC2" s="143"/>
      <c r="AD2" s="143"/>
      <c r="AE2" s="144"/>
    </row>
    <row r="3" spans="2:31" ht="60.75" customHeight="1">
      <c r="B3" s="20" t="s">
        <v>81</v>
      </c>
      <c r="C3" s="20" t="s">
        <v>82</v>
      </c>
      <c r="D3" s="20" t="s">
        <v>101</v>
      </c>
      <c r="E3" s="20" t="s">
        <v>102</v>
      </c>
      <c r="F3" s="20" t="s">
        <v>0</v>
      </c>
      <c r="G3" s="20" t="s">
        <v>65</v>
      </c>
      <c r="H3" s="20" t="s">
        <v>66</v>
      </c>
      <c r="I3" s="20" t="s">
        <v>87</v>
      </c>
      <c r="J3" s="20" t="s">
        <v>2</v>
      </c>
      <c r="K3" s="20" t="s">
        <v>3</v>
      </c>
      <c r="L3" s="20" t="s">
        <v>98</v>
      </c>
      <c r="M3" s="20" t="s">
        <v>75</v>
      </c>
      <c r="N3" s="20" t="s">
        <v>67</v>
      </c>
      <c r="O3" s="20" t="s">
        <v>76</v>
      </c>
      <c r="P3" s="20" t="s">
        <v>77</v>
      </c>
      <c r="Q3" s="20" t="s">
        <v>99</v>
      </c>
      <c r="R3" s="20" t="s">
        <v>103</v>
      </c>
      <c r="S3" s="20" t="s">
        <v>104</v>
      </c>
      <c r="T3" s="20" t="s">
        <v>100</v>
      </c>
      <c r="W3" s="163"/>
      <c r="X3" s="163"/>
      <c r="Z3" s="38" t="s">
        <v>133</v>
      </c>
    </row>
    <row r="4" spans="2:31" ht="15" customHeight="1">
      <c r="B4" s="15"/>
      <c r="C4" s="15" t="s">
        <v>600</v>
      </c>
      <c r="D4" s="9"/>
      <c r="E4" s="15" t="s">
        <v>526</v>
      </c>
      <c r="F4" s="15" t="s">
        <v>602</v>
      </c>
      <c r="G4" s="9"/>
      <c r="H4" s="9"/>
      <c r="I4" s="9">
        <v>3190</v>
      </c>
      <c r="J4" s="9">
        <v>600</v>
      </c>
      <c r="K4" s="9">
        <v>38</v>
      </c>
      <c r="L4" s="9">
        <v>1</v>
      </c>
      <c r="M4" s="17">
        <f>IFERROR((I4)/(1000)*L4,0)</f>
        <v>3.19</v>
      </c>
      <c r="N4" s="17">
        <f>IFERROR((I4*J4)/(1000^2)*L4,0)</f>
        <v>1.9139999999999999</v>
      </c>
      <c r="O4" s="17">
        <f>IFERROR((I4*J4*K4)/(1000^3)*L4,0)</f>
        <v>7.2732000000000005E-2</v>
      </c>
      <c r="P4" s="17">
        <f>IF(R4=1,N4,IF(R4=0,O4,M4))</f>
        <v>1.9139999999999999</v>
      </c>
      <c r="Q4" s="9"/>
      <c r="R4" s="9">
        <v>1</v>
      </c>
      <c r="S4" s="9" t="str">
        <f>IF(R4="","",IF(R4=1,"m²",IF(R4=0,"m3","ml")))</f>
        <v>m²</v>
      </c>
      <c r="T4" s="17">
        <f>IFERROR((P4*Q4),0)</f>
        <v>0</v>
      </c>
      <c r="W4" s="15" t="s">
        <v>170</v>
      </c>
      <c r="X4" s="15">
        <v>1</v>
      </c>
      <c r="Z4" s="15"/>
    </row>
    <row r="5" spans="2:31" ht="15" customHeight="1">
      <c r="B5" s="15"/>
      <c r="C5" s="15" t="s">
        <v>603</v>
      </c>
      <c r="D5" s="9"/>
      <c r="E5" s="15" t="s">
        <v>526</v>
      </c>
      <c r="F5" s="15" t="s">
        <v>527</v>
      </c>
      <c r="G5" s="9"/>
      <c r="H5" s="9" t="s">
        <v>872</v>
      </c>
      <c r="I5" s="9">
        <v>1022</v>
      </c>
      <c r="J5" s="9">
        <v>400</v>
      </c>
      <c r="K5" s="9">
        <v>18</v>
      </c>
      <c r="L5" s="9">
        <v>1</v>
      </c>
      <c r="M5" s="17">
        <f>IFERROR((I5)/(1000)*L5,0)</f>
        <v>1.022</v>
      </c>
      <c r="N5" s="17">
        <f>IFERROR((I5*J5)/(1000^2)*L5,0)</f>
        <v>0.4088</v>
      </c>
      <c r="O5" s="17">
        <f>IFERROR((I5*J5*K5)/(1000^3)*L5,0)</f>
        <v>7.3584000000000002E-3</v>
      </c>
      <c r="P5" s="17">
        <f>IF(R5=1,N5,IF(R5=0,O5,M5))</f>
        <v>0.4088</v>
      </c>
      <c r="Q5" s="9"/>
      <c r="R5" s="9">
        <v>1</v>
      </c>
      <c r="S5" s="9" t="str">
        <f>IF(R5="","",IF(R5=1,"m²",IF(R5=0,"m3","ml")))</f>
        <v>m²</v>
      </c>
      <c r="T5" s="17">
        <f>IFERROR((P5*Q5),0)</f>
        <v>0</v>
      </c>
      <c r="W5" s="15" t="s">
        <v>171</v>
      </c>
      <c r="X5" s="15">
        <v>1</v>
      </c>
    </row>
    <row r="6" spans="2:31" ht="15" customHeight="1">
      <c r="B6" s="15"/>
      <c r="C6" s="15" t="s">
        <v>605</v>
      </c>
      <c r="D6" s="9"/>
      <c r="E6" s="15" t="s">
        <v>526</v>
      </c>
      <c r="F6" s="15" t="s">
        <v>527</v>
      </c>
      <c r="G6" s="9"/>
      <c r="H6" s="9" t="s">
        <v>872</v>
      </c>
      <c r="I6" s="9">
        <v>1022</v>
      </c>
      <c r="J6" s="9">
        <v>400</v>
      </c>
      <c r="K6" s="9">
        <v>18</v>
      </c>
      <c r="L6" s="9">
        <v>1</v>
      </c>
      <c r="M6" s="17">
        <f>IFERROR((I6)/(1000)*L6,0)</f>
        <v>1.022</v>
      </c>
      <c r="N6" s="17">
        <f>IFERROR((I6*J6)/(1000^2)*L6,0)</f>
        <v>0.4088</v>
      </c>
      <c r="O6" s="17">
        <f>IFERROR((I6*J6*K6)/(1000^3)*L6,0)</f>
        <v>7.3584000000000002E-3</v>
      </c>
      <c r="P6" s="17">
        <f>IF(R6=1,N6,IF(R6=0,O6,M6))</f>
        <v>0.4088</v>
      </c>
      <c r="Q6" s="9"/>
      <c r="R6" s="9">
        <v>1</v>
      </c>
      <c r="S6" s="9" t="str">
        <f>IF(R6="","",IF(R6=1,"m²",IF(R6=0,"m3","ml")))</f>
        <v>m²</v>
      </c>
      <c r="T6" s="17">
        <f>IFERROR((P6*Q6),0)</f>
        <v>0</v>
      </c>
      <c r="W6" s="15" t="s">
        <v>183</v>
      </c>
      <c r="X6" s="15">
        <v>0</v>
      </c>
    </row>
  </sheetData>
  <mergeCells count="3">
    <mergeCell ref="B1:T1"/>
    <mergeCell ref="W2:X3"/>
    <mergeCell ref="Z2:AE2"/>
  </mergeCells>
  <printOptions horizontalCentered="1"/>
  <pageMargins left="3.937007874015748E-2" right="3.937007874015748E-2" top="3.937007874015748E-2" bottom="3.937007874015748E-2" header="0.31496062992125984" footer="0.31496062992125984"/>
  <pageSetup paperSize="9"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FA83B-5BB3-4D33-AC3F-B395B464097B}">
  <sheetPr codeName="Feuil18"/>
  <dimension ref="A1:AL28"/>
  <sheetViews>
    <sheetView zoomScale="70" zoomScaleNormal="70" workbookViewId="0">
      <selection activeCell="L5" sqref="L5"/>
    </sheetView>
  </sheetViews>
  <sheetFormatPr defaultColWidth="11.453125" defaultRowHeight="20.149999999999999" customHeight="1"/>
  <cols>
    <col min="1" max="1" width="13.90625" style="21" customWidth="1"/>
    <col min="2" max="2" width="5" style="21" bestFit="1" customWidth="1"/>
    <col min="3" max="3" width="9.08984375" style="21" customWidth="1"/>
    <col min="4" max="4" width="22" style="21" customWidth="1"/>
    <col min="5" max="5" width="22" style="55" customWidth="1"/>
    <col min="6" max="9" width="22" style="21" customWidth="1"/>
    <col min="10" max="10" width="7.36328125" style="21" bestFit="1" customWidth="1"/>
    <col min="11" max="11" width="20.6328125" style="21" customWidth="1"/>
    <col min="12" max="12" width="6.90625" style="21" bestFit="1" customWidth="1"/>
    <col min="13" max="13" width="20.6328125" style="21" customWidth="1"/>
    <col min="14" max="16384" width="11.453125" style="21"/>
  </cols>
  <sheetData>
    <row r="1" spans="1:38" ht="20.149999999999999" customHeight="1">
      <c r="A1" s="198"/>
      <c r="B1" s="198"/>
      <c r="C1" s="198"/>
      <c r="D1" s="198"/>
      <c r="E1" s="198"/>
      <c r="F1" s="198"/>
      <c r="G1" s="198"/>
      <c r="H1" s="198"/>
      <c r="I1" s="198"/>
      <c r="J1" s="198"/>
      <c r="K1" s="198"/>
      <c r="L1" s="198"/>
      <c r="N1" s="198" t="s">
        <v>185</v>
      </c>
      <c r="O1" s="198"/>
      <c r="P1" s="198"/>
      <c r="Q1" s="198"/>
      <c r="R1" s="198"/>
      <c r="S1" s="198"/>
      <c r="T1" s="198"/>
      <c r="U1" s="198"/>
      <c r="V1" s="198"/>
      <c r="W1" s="198"/>
      <c r="X1" s="198"/>
      <c r="Y1" s="198"/>
      <c r="AA1" s="198" t="s">
        <v>174</v>
      </c>
      <c r="AB1" s="198"/>
      <c r="AC1" s="198"/>
      <c r="AD1" s="198"/>
      <c r="AE1" s="198"/>
      <c r="AF1" s="198"/>
      <c r="AG1" s="198"/>
      <c r="AH1" s="198"/>
      <c r="AI1" s="198"/>
      <c r="AJ1" s="198"/>
      <c r="AK1" s="198"/>
      <c r="AL1" s="198"/>
    </row>
    <row r="2" spans="1:38" ht="20.149999999999999" customHeight="1">
      <c r="A2" s="198"/>
      <c r="B2" s="198"/>
      <c r="C2" s="198"/>
      <c r="D2" s="198"/>
      <c r="E2" s="198"/>
      <c r="F2" s="198"/>
      <c r="G2" s="198"/>
      <c r="H2" s="198"/>
      <c r="I2" s="198"/>
      <c r="J2" s="198"/>
      <c r="K2" s="198"/>
      <c r="L2" s="198"/>
      <c r="N2" s="198"/>
      <c r="O2" s="198"/>
      <c r="P2" s="198"/>
      <c r="Q2" s="198"/>
      <c r="R2" s="198"/>
      <c r="S2" s="198"/>
      <c r="T2" s="198"/>
      <c r="U2" s="198"/>
      <c r="V2" s="198"/>
      <c r="W2" s="198"/>
      <c r="X2" s="198"/>
      <c r="Y2" s="198"/>
      <c r="AA2" s="198"/>
      <c r="AB2" s="198"/>
      <c r="AC2" s="198"/>
      <c r="AD2" s="198"/>
      <c r="AE2" s="198"/>
      <c r="AF2" s="198"/>
      <c r="AG2" s="198"/>
      <c r="AH2" s="198"/>
      <c r="AI2" s="198"/>
      <c r="AJ2" s="198"/>
      <c r="AK2" s="198"/>
      <c r="AL2" s="198"/>
    </row>
    <row r="3" spans="1:38" ht="20.149999999999999" customHeight="1">
      <c r="A3" s="198"/>
      <c r="B3" s="198"/>
      <c r="C3" s="198"/>
      <c r="D3" s="198"/>
      <c r="E3" s="198"/>
      <c r="F3" s="198"/>
      <c r="G3" s="198"/>
      <c r="H3" s="198"/>
      <c r="I3" s="198"/>
      <c r="J3" s="198"/>
      <c r="K3" s="198"/>
      <c r="L3" s="198"/>
      <c r="N3" s="198"/>
      <c r="O3" s="198"/>
      <c r="P3" s="198"/>
      <c r="Q3" s="198"/>
      <c r="R3" s="198"/>
      <c r="S3" s="198"/>
      <c r="T3" s="198"/>
      <c r="U3" s="198"/>
      <c r="V3" s="198"/>
      <c r="W3" s="198"/>
      <c r="X3" s="198"/>
      <c r="Y3" s="198"/>
      <c r="AA3" s="198"/>
      <c r="AB3" s="198"/>
      <c r="AC3" s="198"/>
      <c r="AD3" s="198"/>
      <c r="AE3" s="198"/>
      <c r="AF3" s="198"/>
      <c r="AG3" s="198"/>
      <c r="AH3" s="198"/>
      <c r="AI3" s="198"/>
      <c r="AJ3" s="198"/>
      <c r="AK3" s="198"/>
      <c r="AL3" s="198"/>
    </row>
    <row r="4" spans="1:38" ht="20.149999999999999" customHeight="1">
      <c r="E4" s="21"/>
    </row>
    <row r="5" spans="1:38" ht="20.149999999999999" customHeight="1">
      <c r="E5" s="21"/>
      <c r="N5" s="56" t="s">
        <v>186</v>
      </c>
      <c r="O5" s="21" t="s">
        <v>187</v>
      </c>
    </row>
    <row r="6" spans="1:38" ht="20.149999999999999" customHeight="1">
      <c r="A6" s="195" t="s">
        <v>172</v>
      </c>
      <c r="B6" s="195"/>
      <c r="C6" s="195"/>
      <c r="E6" s="21"/>
      <c r="I6" s="71" t="s">
        <v>400</v>
      </c>
      <c r="J6" s="72" t="s">
        <v>385</v>
      </c>
    </row>
    <row r="7" spans="1:38" ht="20.149999999999999" customHeight="1">
      <c r="E7" s="21"/>
      <c r="N7" s="56" t="s">
        <v>188</v>
      </c>
      <c r="O7" s="21" t="s">
        <v>189</v>
      </c>
    </row>
    <row r="8" spans="1:38" ht="20.149999999999999" customHeight="1">
      <c r="E8" s="21"/>
      <c r="O8" s="21" t="s">
        <v>190</v>
      </c>
    </row>
    <row r="9" spans="1:38" ht="20.149999999999999" customHeight="1">
      <c r="E9" s="21"/>
      <c r="O9" s="21" t="s">
        <v>191</v>
      </c>
      <c r="P9" s="200" t="s">
        <v>123</v>
      </c>
      <c r="Q9" s="200"/>
    </row>
    <row r="10" spans="1:38" ht="20.149999999999999" customHeight="1">
      <c r="A10" s="195" t="s">
        <v>173</v>
      </c>
      <c r="B10" s="195"/>
      <c r="C10" s="195"/>
      <c r="D10" s="199" t="s">
        <v>471</v>
      </c>
      <c r="E10" s="199"/>
      <c r="F10" s="199"/>
      <c r="G10" s="199"/>
      <c r="H10" s="199"/>
      <c r="I10" s="199"/>
      <c r="P10" s="200"/>
      <c r="Q10" s="200"/>
    </row>
    <row r="11" spans="1:38" ht="20.149999999999999" customHeight="1">
      <c r="E11" s="21"/>
    </row>
    <row r="12" spans="1:38" ht="20.149999999999999" customHeight="1">
      <c r="E12" s="21"/>
      <c r="N12" s="197" t="s">
        <v>192</v>
      </c>
      <c r="O12" s="197"/>
      <c r="P12" s="197"/>
      <c r="Q12" s="197"/>
      <c r="R12" s="197"/>
      <c r="S12" s="197"/>
      <c r="T12" s="197"/>
      <c r="U12" s="197"/>
      <c r="V12" s="197"/>
      <c r="W12" s="197"/>
      <c r="X12" s="197"/>
      <c r="Y12" s="197"/>
    </row>
    <row r="13" spans="1:38" ht="20.149999999999999" customHeight="1">
      <c r="A13" s="195" t="s">
        <v>174</v>
      </c>
      <c r="B13" s="195"/>
      <c r="C13" s="195"/>
      <c r="D13" s="199" t="s">
        <v>494</v>
      </c>
      <c r="E13" s="199"/>
      <c r="F13" s="199"/>
      <c r="G13" s="199"/>
      <c r="H13" s="199"/>
      <c r="I13" s="199"/>
      <c r="N13" s="197"/>
      <c r="O13" s="197"/>
      <c r="P13" s="197"/>
      <c r="Q13" s="197"/>
      <c r="R13" s="197"/>
      <c r="S13" s="197"/>
      <c r="T13" s="197"/>
      <c r="U13" s="197"/>
      <c r="V13" s="197"/>
      <c r="W13" s="197"/>
      <c r="X13" s="197"/>
      <c r="Y13" s="197"/>
    </row>
    <row r="14" spans="1:38" ht="20.149999999999999" customHeight="1">
      <c r="E14" s="21"/>
    </row>
    <row r="16" spans="1:38" ht="20.149999999999999" customHeight="1">
      <c r="A16" s="195" t="s">
        <v>175</v>
      </c>
      <c r="B16" s="195"/>
      <c r="C16" s="195"/>
      <c r="D16" s="193" t="s">
        <v>176</v>
      </c>
      <c r="E16" s="193"/>
      <c r="F16" s="193"/>
      <c r="G16" s="193"/>
      <c r="H16" s="196" t="s">
        <v>177</v>
      </c>
      <c r="I16" s="196"/>
    </row>
    <row r="17" spans="1:14" ht="20.149999999999999" customHeight="1">
      <c r="A17" s="52"/>
      <c r="B17" s="52"/>
      <c r="C17" s="52"/>
      <c r="D17" s="53"/>
      <c r="E17" s="53"/>
      <c r="F17" s="53"/>
      <c r="G17" s="53"/>
      <c r="H17" s="54"/>
      <c r="I17" s="54"/>
    </row>
    <row r="18" spans="1:14" ht="20.149999999999999" customHeight="1">
      <c r="A18" s="52"/>
      <c r="B18" s="52"/>
      <c r="C18" s="52"/>
      <c r="D18" s="193" t="s">
        <v>193</v>
      </c>
      <c r="E18" s="193"/>
      <c r="F18" s="193"/>
      <c r="G18" s="193"/>
      <c r="H18" s="54"/>
      <c r="I18" s="54"/>
    </row>
    <row r="19" spans="1:14" ht="20.149999999999999" customHeight="1">
      <c r="A19" s="52"/>
      <c r="B19" s="52"/>
      <c r="C19" s="52"/>
      <c r="D19" s="53"/>
      <c r="E19" s="53"/>
      <c r="F19" s="53"/>
      <c r="G19" s="53"/>
      <c r="H19" s="54"/>
      <c r="I19" s="54"/>
    </row>
    <row r="20" spans="1:14" ht="20.149999999999999" customHeight="1">
      <c r="A20" s="52"/>
      <c r="B20" s="52"/>
      <c r="C20" s="52"/>
      <c r="D20" s="53"/>
      <c r="E20" s="53"/>
      <c r="F20" s="53"/>
      <c r="G20" s="53"/>
      <c r="H20" s="54"/>
      <c r="I20" s="54"/>
    </row>
    <row r="21" spans="1:14" ht="20.149999999999999" customHeight="1">
      <c r="A21" s="52"/>
      <c r="B21" s="52"/>
      <c r="C21" s="52"/>
      <c r="D21" s="53"/>
      <c r="E21" s="53"/>
      <c r="F21" s="53"/>
      <c r="G21" s="53"/>
      <c r="H21" s="54"/>
      <c r="I21" s="54"/>
    </row>
    <row r="25" spans="1:14" ht="20.149999999999999" customHeight="1">
      <c r="A25" s="195" t="s">
        <v>178</v>
      </c>
      <c r="B25" s="195"/>
      <c r="C25" s="195"/>
      <c r="D25" s="193" t="s">
        <v>179</v>
      </c>
      <c r="E25" s="193"/>
      <c r="F25" s="193"/>
      <c r="G25" s="193"/>
      <c r="H25" s="193"/>
      <c r="I25" s="193"/>
    </row>
    <row r="26" spans="1:14" ht="60" customHeight="1">
      <c r="D26" s="194" t="s">
        <v>180</v>
      </c>
      <c r="E26" s="194"/>
      <c r="F26" s="194"/>
      <c r="G26" s="194"/>
      <c r="H26" s="194"/>
      <c r="I26" s="194"/>
      <c r="N26" s="21" t="s">
        <v>427</v>
      </c>
    </row>
    <row r="27" spans="1:14" ht="20.149999999999999" customHeight="1">
      <c r="D27" s="193" t="s">
        <v>181</v>
      </c>
      <c r="E27" s="193"/>
      <c r="F27" s="193"/>
      <c r="G27" s="193"/>
      <c r="H27" s="193"/>
      <c r="I27" s="193"/>
    </row>
    <row r="28" spans="1:14" ht="60" customHeight="1">
      <c r="D28" s="194" t="s">
        <v>182</v>
      </c>
      <c r="E28" s="194"/>
      <c r="F28" s="194"/>
      <c r="G28" s="194"/>
      <c r="H28" s="194"/>
      <c r="I28" s="194"/>
    </row>
  </sheetData>
  <mergeCells count="19">
    <mergeCell ref="N12:Y13"/>
    <mergeCell ref="N1:Y3"/>
    <mergeCell ref="AA1:AL3"/>
    <mergeCell ref="A1:L3"/>
    <mergeCell ref="A6:C6"/>
    <mergeCell ref="A10:C10"/>
    <mergeCell ref="D10:I10"/>
    <mergeCell ref="P9:Q10"/>
    <mergeCell ref="A13:C13"/>
    <mergeCell ref="D13:I13"/>
    <mergeCell ref="D27:I27"/>
    <mergeCell ref="D28:I28"/>
    <mergeCell ref="A16:C16"/>
    <mergeCell ref="D16:G16"/>
    <mergeCell ref="H16:I16"/>
    <mergeCell ref="A25:C25"/>
    <mergeCell ref="D25:I25"/>
    <mergeCell ref="D26:I26"/>
    <mergeCell ref="D18:G18"/>
  </mergeCells>
  <printOptions horizontalCentered="1"/>
  <pageMargins left="3.937007874015748E-2" right="3.937007874015748E-2" top="3.937007874015748E-2" bottom="3.937007874015748E-2" header="0.31496062992125984" footer="0.31496062992125984"/>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0513" r:id="rId4" name="Button 1">
              <controlPr defaultSize="0" print="0" autoFill="0" autoPict="0" macro="[0]!ThisWorkbook.FillXMLTp">
                <anchor moveWithCells="1" sizeWithCells="1">
                  <from>
                    <xdr:col>9</xdr:col>
                    <xdr:colOff>717550</xdr:colOff>
                    <xdr:row>7</xdr:row>
                    <xdr:rowOff>342900</xdr:rowOff>
                  </from>
                  <to>
                    <xdr:col>11</xdr:col>
                    <xdr:colOff>63500</xdr:colOff>
                    <xdr:row>10</xdr:row>
                    <xdr:rowOff>44450</xdr:rowOff>
                  </to>
                </anchor>
              </controlPr>
            </control>
          </mc:Choice>
        </mc:AlternateContent>
        <mc:AlternateContent xmlns:mc="http://schemas.openxmlformats.org/markup-compatibility/2006">
          <mc:Choice Requires="x14">
            <control shapeId="320514" r:id="rId5" name="Button 2">
              <controlPr defaultSize="0" print="0" autoFill="0" autoPict="0" macro="[0]!DisplayAllSheets">
                <anchor moveWithCells="1" sizeWithCells="1">
                  <from>
                    <xdr:col>3</xdr:col>
                    <xdr:colOff>31750</xdr:colOff>
                    <xdr:row>5</xdr:row>
                    <xdr:rowOff>0</xdr:rowOff>
                  </from>
                  <to>
                    <xdr:col>4</xdr:col>
                    <xdr:colOff>25400</xdr:colOff>
                    <xdr:row>7</xdr:row>
                    <xdr:rowOff>76200</xdr:rowOff>
                  </to>
                </anchor>
              </controlPr>
            </control>
          </mc:Choice>
        </mc:AlternateContent>
        <mc:AlternateContent xmlns:mc="http://schemas.openxmlformats.org/markup-compatibility/2006">
          <mc:Choice Requires="x14">
            <control shapeId="320515" r:id="rId6" name="Button 3">
              <controlPr defaultSize="0" print="0" autoFill="0" autoPict="0" macro="[0]!ThisWorkbook.DebugXML">
                <anchor moveWithCells="1" sizeWithCells="1">
                  <from>
                    <xdr:col>10</xdr:col>
                    <xdr:colOff>0</xdr:colOff>
                    <xdr:row>11</xdr:row>
                    <xdr:rowOff>260350</xdr:rowOff>
                  </from>
                  <to>
                    <xdr:col>11</xdr:col>
                    <xdr:colOff>82550</xdr:colOff>
                    <xdr:row>13</xdr:row>
                    <xdr:rowOff>336550</xdr:rowOff>
                  </to>
                </anchor>
              </controlPr>
            </control>
          </mc:Choice>
        </mc:AlternateContent>
        <mc:AlternateContent xmlns:mc="http://schemas.openxmlformats.org/markup-compatibility/2006">
          <mc:Choice Requires="x14">
            <control shapeId="391513" r:id="rId7" name="Button 2393">
              <controlPr defaultSize="0" print="0" autoFill="0" autoPict="0" macro="[0]!openDialogXML">
                <anchor moveWithCells="1" sizeWithCells="1">
                  <from>
                    <xdr:col>8</xdr:col>
                    <xdr:colOff>1060450</xdr:colOff>
                    <xdr:row>8</xdr:row>
                    <xdr:rowOff>260350</xdr:rowOff>
                  </from>
                  <to>
                    <xdr:col>9</xdr:col>
                    <xdr:colOff>25400</xdr:colOff>
                    <xdr:row>10</xdr:row>
                    <xdr:rowOff>76200</xdr:rowOff>
                  </to>
                </anchor>
              </controlPr>
            </control>
          </mc:Choice>
        </mc:AlternateContent>
        <mc:AlternateContent xmlns:mc="http://schemas.openxmlformats.org/markup-compatibility/2006">
          <mc:Choice Requires="x14">
            <control shapeId="391514" r:id="rId8" name="Button 2394">
              <controlPr defaultSize="0" print="0" autoFill="0" autoPict="0" macro="[0]!openDialogDEBUG">
                <anchor moveWithCells="1" sizeWithCells="1">
                  <from>
                    <xdr:col>8</xdr:col>
                    <xdr:colOff>1092200</xdr:colOff>
                    <xdr:row>11</xdr:row>
                    <xdr:rowOff>273050</xdr:rowOff>
                  </from>
                  <to>
                    <xdr:col>9</xdr:col>
                    <xdr:colOff>44450</xdr:colOff>
                    <xdr:row>13</xdr:row>
                    <xdr:rowOff>76200</xdr:rowOff>
                  </to>
                </anchor>
              </controlPr>
            </control>
          </mc:Choice>
        </mc:AlternateContent>
        <mc:AlternateContent xmlns:mc="http://schemas.openxmlformats.org/markup-compatibility/2006">
          <mc:Choice Requires="x14">
            <control shapeId="396821" r:id="rId9" name="Button 3605">
              <controlPr defaultSize="0" print="0" autoFill="0" autoPict="0" macro="[0]!Translate">
                <anchor moveWithCells="1" sizeWithCells="1">
                  <from>
                    <xdr:col>7</xdr:col>
                    <xdr:colOff>25400</xdr:colOff>
                    <xdr:row>4</xdr:row>
                    <xdr:rowOff>368300</xdr:rowOff>
                  </from>
                  <to>
                    <xdr:col>7</xdr:col>
                    <xdr:colOff>2178050</xdr:colOff>
                    <xdr:row>7</xdr:row>
                    <xdr:rowOff>63500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1E169-5DC5-4746-A290-C6C4C2D8A094}">
  <sheetPr codeName="Feuil1"/>
  <dimension ref="A1:E47"/>
  <sheetViews>
    <sheetView workbookViewId="0">
      <pane xSplit="1" ySplit="1" topLeftCell="B23" activePane="bottomRight" state="frozen"/>
      <selection pane="topRight" activeCell="B1" sqref="B1"/>
      <selection pane="bottomLeft" activeCell="A2" sqref="A2"/>
      <selection pane="bottomRight" activeCell="C45" sqref="C45"/>
    </sheetView>
  </sheetViews>
  <sheetFormatPr defaultColWidth="25.6328125" defaultRowHeight="14.5"/>
  <cols>
    <col min="1" max="4" width="25.6328125" style="73" customWidth="1"/>
  </cols>
  <sheetData>
    <row r="1" spans="1:5">
      <c r="A1" s="70" t="s">
        <v>385</v>
      </c>
      <c r="B1" s="70" t="s">
        <v>386</v>
      </c>
      <c r="C1" s="70" t="s">
        <v>387</v>
      </c>
      <c r="D1" s="70" t="s">
        <v>470</v>
      </c>
      <c r="E1" s="70"/>
    </row>
    <row r="2" spans="1:5">
      <c r="A2" s="73" t="s">
        <v>81</v>
      </c>
      <c r="B2" s="73" t="s">
        <v>388</v>
      </c>
      <c r="D2" s="73" t="s">
        <v>431</v>
      </c>
      <c r="E2" s="76"/>
    </row>
    <row r="3" spans="1:5">
      <c r="A3" s="73" t="s">
        <v>97</v>
      </c>
      <c r="B3" s="73" t="s">
        <v>389</v>
      </c>
      <c r="D3" s="73" t="s">
        <v>432</v>
      </c>
    </row>
    <row r="4" spans="1:5">
      <c r="A4" s="73" t="s">
        <v>82</v>
      </c>
      <c r="B4" s="73" t="s">
        <v>390</v>
      </c>
      <c r="D4" s="73" t="s">
        <v>433</v>
      </c>
    </row>
    <row r="5" spans="1:5">
      <c r="A5" s="73" t="s">
        <v>0</v>
      </c>
      <c r="B5" s="73" t="s">
        <v>391</v>
      </c>
      <c r="C5" s="73" t="s">
        <v>408</v>
      </c>
      <c r="D5" s="73" t="s">
        <v>434</v>
      </c>
    </row>
    <row r="6" spans="1:5">
      <c r="A6" s="73" t="s">
        <v>194</v>
      </c>
      <c r="B6" s="73" t="s">
        <v>392</v>
      </c>
      <c r="D6" s="73" t="s">
        <v>435</v>
      </c>
    </row>
    <row r="7" spans="1:5">
      <c r="A7" s="73" t="s">
        <v>184</v>
      </c>
      <c r="B7" s="73" t="s">
        <v>393</v>
      </c>
      <c r="D7" s="73" t="s">
        <v>436</v>
      </c>
    </row>
    <row r="8" spans="1:5">
      <c r="A8" s="73" t="s">
        <v>83</v>
      </c>
      <c r="B8" s="73" t="s">
        <v>83</v>
      </c>
      <c r="D8" s="73" t="s">
        <v>437</v>
      </c>
    </row>
    <row r="9" spans="1:5">
      <c r="A9" s="73" t="s">
        <v>84</v>
      </c>
      <c r="B9" s="73" t="s">
        <v>394</v>
      </c>
      <c r="D9" s="73" t="s">
        <v>438</v>
      </c>
    </row>
    <row r="10" spans="1:5">
      <c r="A10" s="73" t="s">
        <v>85</v>
      </c>
      <c r="B10" s="73" t="s">
        <v>395</v>
      </c>
      <c r="D10" s="73" t="s">
        <v>439</v>
      </c>
    </row>
    <row r="11" spans="1:5">
      <c r="A11" s="73" t="s">
        <v>86</v>
      </c>
      <c r="B11" s="73" t="s">
        <v>396</v>
      </c>
      <c r="D11" s="73" t="s">
        <v>440</v>
      </c>
    </row>
    <row r="12" spans="1:5">
      <c r="A12" s="73" t="s">
        <v>245</v>
      </c>
      <c r="B12" s="73" t="s">
        <v>72</v>
      </c>
      <c r="D12" s="73" t="s">
        <v>441</v>
      </c>
    </row>
    <row r="13" spans="1:5">
      <c r="A13" s="73" t="s">
        <v>322</v>
      </c>
      <c r="B13" s="73" t="s">
        <v>397</v>
      </c>
      <c r="D13" s="73" t="s">
        <v>442</v>
      </c>
    </row>
    <row r="14" spans="1:5">
      <c r="A14" s="73" t="s">
        <v>94</v>
      </c>
      <c r="B14" s="73" t="s">
        <v>398</v>
      </c>
      <c r="C14" s="73" t="s">
        <v>94</v>
      </c>
      <c r="D14" s="73" t="s">
        <v>443</v>
      </c>
    </row>
    <row r="15" spans="1:5">
      <c r="A15" s="73" t="s">
        <v>95</v>
      </c>
      <c r="B15" s="73" t="s">
        <v>399</v>
      </c>
      <c r="C15" s="73" t="s">
        <v>95</v>
      </c>
      <c r="D15" s="73" t="s">
        <v>444</v>
      </c>
    </row>
    <row r="16" spans="1:5">
      <c r="A16" s="73" t="s">
        <v>74</v>
      </c>
      <c r="B16" s="73" t="s">
        <v>74</v>
      </c>
      <c r="D16" s="73" t="s">
        <v>445</v>
      </c>
    </row>
    <row r="17" spans="1:4">
      <c r="A17" s="73" t="s">
        <v>73</v>
      </c>
      <c r="B17" s="73" t="s">
        <v>73</v>
      </c>
      <c r="D17" s="73" t="s">
        <v>446</v>
      </c>
    </row>
    <row r="18" spans="1:4">
      <c r="A18" s="73" t="s">
        <v>65</v>
      </c>
      <c r="B18" s="73" t="s">
        <v>401</v>
      </c>
      <c r="D18" s="73" t="s">
        <v>447</v>
      </c>
    </row>
    <row r="19" spans="1:4">
      <c r="A19" s="73" t="s">
        <v>109</v>
      </c>
      <c r="B19" s="73" t="s">
        <v>405</v>
      </c>
      <c r="D19" s="73" t="s">
        <v>448</v>
      </c>
    </row>
    <row r="20" spans="1:4">
      <c r="A20" s="73" t="s">
        <v>98</v>
      </c>
      <c r="B20" s="73" t="s">
        <v>402</v>
      </c>
      <c r="D20" s="73" t="s">
        <v>438</v>
      </c>
    </row>
    <row r="21" spans="1:4">
      <c r="A21" s="73" t="s">
        <v>99</v>
      </c>
      <c r="B21" s="73" t="s">
        <v>403</v>
      </c>
      <c r="D21" s="73" t="s">
        <v>449</v>
      </c>
    </row>
    <row r="22" spans="1:4">
      <c r="A22" s="73" t="s">
        <v>100</v>
      </c>
      <c r="B22" s="73" t="s">
        <v>404</v>
      </c>
      <c r="D22" s="73" t="s">
        <v>450</v>
      </c>
    </row>
    <row r="23" spans="1:4">
      <c r="A23" s="73" t="s">
        <v>231</v>
      </c>
      <c r="B23" s="73" t="s">
        <v>406</v>
      </c>
      <c r="D23" s="73" t="s">
        <v>451</v>
      </c>
    </row>
    <row r="24" spans="1:4">
      <c r="A24" s="36" t="s">
        <v>323</v>
      </c>
      <c r="B24" s="36" t="s">
        <v>407</v>
      </c>
      <c r="C24" s="36"/>
      <c r="D24" s="74" t="s">
        <v>452</v>
      </c>
    </row>
    <row r="25" spans="1:4" s="36" customFormat="1">
      <c r="A25" s="36" t="s">
        <v>321</v>
      </c>
      <c r="B25" s="73" t="s">
        <v>409</v>
      </c>
      <c r="C25" s="73"/>
      <c r="D25" s="73" t="s">
        <v>446</v>
      </c>
    </row>
    <row r="26" spans="1:4">
      <c r="A26" s="36" t="s">
        <v>246</v>
      </c>
      <c r="B26" s="73" t="s">
        <v>410</v>
      </c>
      <c r="D26" s="73" t="s">
        <v>453</v>
      </c>
    </row>
    <row r="27" spans="1:4">
      <c r="A27" s="36" t="s">
        <v>247</v>
      </c>
      <c r="B27" s="73" t="s">
        <v>411</v>
      </c>
      <c r="D27" s="73" t="s">
        <v>454</v>
      </c>
    </row>
    <row r="28" spans="1:4">
      <c r="A28" s="36" t="s">
        <v>111</v>
      </c>
      <c r="B28" s="73" t="s">
        <v>412</v>
      </c>
      <c r="D28" s="73" t="s">
        <v>455</v>
      </c>
    </row>
    <row r="29" spans="1:4">
      <c r="A29" s="36" t="s">
        <v>68</v>
      </c>
      <c r="B29" s="73" t="s">
        <v>413</v>
      </c>
      <c r="D29" s="73" t="s">
        <v>456</v>
      </c>
    </row>
    <row r="30" spans="1:4">
      <c r="A30" s="36" t="s">
        <v>229</v>
      </c>
      <c r="B30" s="73" t="s">
        <v>414</v>
      </c>
      <c r="D30" s="73" t="s">
        <v>457</v>
      </c>
    </row>
    <row r="31" spans="1:4">
      <c r="A31" s="36" t="s">
        <v>415</v>
      </c>
      <c r="B31" s="36" t="s">
        <v>415</v>
      </c>
      <c r="D31" s="73" t="s">
        <v>458</v>
      </c>
    </row>
    <row r="32" spans="1:4">
      <c r="A32" s="36" t="s">
        <v>78</v>
      </c>
      <c r="B32" s="36" t="s">
        <v>416</v>
      </c>
      <c r="D32" s="73" t="s">
        <v>459</v>
      </c>
    </row>
    <row r="33" spans="1:4">
      <c r="A33" s="36" t="s">
        <v>79</v>
      </c>
      <c r="B33" s="36" t="s">
        <v>417</v>
      </c>
      <c r="D33" s="73" t="s">
        <v>460</v>
      </c>
    </row>
    <row r="34" spans="1:4">
      <c r="A34" s="36" t="s">
        <v>228</v>
      </c>
      <c r="B34" s="36" t="s">
        <v>418</v>
      </c>
      <c r="D34" s="73" t="s">
        <v>461</v>
      </c>
    </row>
    <row r="35" spans="1:4">
      <c r="A35" s="73" t="s">
        <v>324</v>
      </c>
      <c r="B35" s="73" t="s">
        <v>419</v>
      </c>
      <c r="D35" s="73" t="s">
        <v>462</v>
      </c>
    </row>
    <row r="36" spans="1:4">
      <c r="A36" s="73" t="s">
        <v>89</v>
      </c>
      <c r="B36" s="73" t="s">
        <v>420</v>
      </c>
      <c r="D36" s="73" t="s">
        <v>463</v>
      </c>
    </row>
    <row r="37" spans="1:4">
      <c r="A37" s="73" t="s">
        <v>90</v>
      </c>
      <c r="B37" s="73" t="s">
        <v>421</v>
      </c>
      <c r="D37" s="73" t="s">
        <v>464</v>
      </c>
    </row>
    <row r="38" spans="1:4">
      <c r="A38" s="73" t="s">
        <v>88</v>
      </c>
      <c r="B38" s="73" t="s">
        <v>422</v>
      </c>
      <c r="D38" s="73" t="s">
        <v>465</v>
      </c>
    </row>
    <row r="39" spans="1:4">
      <c r="A39" s="73" t="s">
        <v>91</v>
      </c>
      <c r="B39" s="73" t="s">
        <v>423</v>
      </c>
      <c r="D39" s="73" t="s">
        <v>466</v>
      </c>
    </row>
    <row r="40" spans="1:4">
      <c r="A40" s="73" t="s">
        <v>92</v>
      </c>
      <c r="B40" s="73" t="s">
        <v>424</v>
      </c>
      <c r="D40" s="73" t="s">
        <v>467</v>
      </c>
    </row>
    <row r="41" spans="1:4">
      <c r="A41" s="73" t="s">
        <v>89</v>
      </c>
      <c r="B41" s="73" t="s">
        <v>425</v>
      </c>
      <c r="D41" s="73" t="s">
        <v>468</v>
      </c>
    </row>
    <row r="42" spans="1:4">
      <c r="A42" s="73" t="s">
        <v>93</v>
      </c>
      <c r="B42" s="73" t="s">
        <v>426</v>
      </c>
      <c r="D42" s="73" t="s">
        <v>469</v>
      </c>
    </row>
    <row r="43" spans="1:4">
      <c r="A43" s="73" t="s">
        <v>428</v>
      </c>
      <c r="B43" s="73" t="s">
        <v>429</v>
      </c>
    </row>
    <row r="44" spans="1:4">
      <c r="A44" s="73" t="s">
        <v>487</v>
      </c>
      <c r="B44" s="73" t="s">
        <v>489</v>
      </c>
    </row>
    <row r="45" spans="1:4">
      <c r="A45" s="73" t="s">
        <v>87</v>
      </c>
      <c r="B45" s="73" t="s">
        <v>490</v>
      </c>
    </row>
    <row r="46" spans="1:4">
      <c r="A46" s="73" t="s">
        <v>488</v>
      </c>
      <c r="B46" s="73" t="s">
        <v>491</v>
      </c>
    </row>
    <row r="47" spans="1:4">
      <c r="A47" s="73" t="s">
        <v>492</v>
      </c>
      <c r="B47" s="73" t="s">
        <v>493</v>
      </c>
    </row>
  </sheetData>
  <pageMargins left="0.7" right="0.7" top="0.75" bottom="0.75" header="0.3" footer="0.3"/>
  <pageSetup paperSize="9" orientation="portrait" horizontalDpi="4294967295" verticalDpi="4294967295"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83C01-0B55-4690-A336-B3877A68D9E9}">
  <sheetPr codeName="Feuil13"/>
  <dimension ref="B1:AE13"/>
  <sheetViews>
    <sheetView topLeftCell="A3" workbookViewId="0">
      <selection activeCell="B4" sqref="B4"/>
    </sheetView>
  </sheetViews>
  <sheetFormatPr defaultColWidth="11.453125" defaultRowHeight="60" customHeight="1"/>
  <cols>
    <col min="1" max="1" width="8.984375E-2" customWidth="1"/>
    <col min="2" max="2" width="25.6328125" customWidth="1"/>
    <col min="3" max="3" width="23.6328125" customWidth="1"/>
    <col min="4" max="5" width="6.08984375" customWidth="1"/>
    <col min="6" max="8" width="15.90625" style="1" customWidth="1"/>
    <col min="9" max="13" width="6.6328125" customWidth="1"/>
    <col min="14" max="18" width="5.90625" customWidth="1"/>
    <col min="19" max="19" width="7.08984375" customWidth="1"/>
    <col min="20" max="20" width="5.90625" customWidth="1"/>
    <col min="21" max="21" width="8.984375E-2" customWidth="1"/>
  </cols>
  <sheetData>
    <row r="1" spans="2:31" ht="26">
      <c r="B1" s="192" t="s">
        <v>68</v>
      </c>
      <c r="C1" s="192"/>
      <c r="D1" s="192"/>
      <c r="E1" s="192"/>
      <c r="F1" s="192"/>
      <c r="G1" s="192"/>
      <c r="H1" s="192"/>
      <c r="I1" s="192"/>
      <c r="J1" s="192"/>
      <c r="K1" s="192"/>
      <c r="L1" s="192"/>
      <c r="M1" s="192"/>
      <c r="N1" s="192"/>
      <c r="O1" s="192"/>
      <c r="P1" s="192"/>
      <c r="Q1" s="192"/>
      <c r="R1" s="192"/>
      <c r="S1" s="192"/>
      <c r="T1" s="192"/>
    </row>
    <row r="2" spans="2:31" ht="25.5" customHeight="1">
      <c r="F2"/>
      <c r="G2"/>
      <c r="H2"/>
      <c r="W2" s="163" t="s">
        <v>55</v>
      </c>
      <c r="X2" s="163"/>
      <c r="Z2" s="142" t="s">
        <v>4</v>
      </c>
      <c r="AA2" s="143"/>
      <c r="AB2" s="143"/>
      <c r="AC2" s="143"/>
      <c r="AD2" s="143"/>
      <c r="AE2" s="144"/>
    </row>
    <row r="3" spans="2:31" ht="60.75" customHeight="1">
      <c r="B3" s="20" t="s">
        <v>81</v>
      </c>
      <c r="C3" s="20" t="s">
        <v>82</v>
      </c>
      <c r="D3" s="20" t="s">
        <v>101</v>
      </c>
      <c r="E3" s="20" t="s">
        <v>102</v>
      </c>
      <c r="F3" s="20" t="s">
        <v>0</v>
      </c>
      <c r="G3" s="20" t="s">
        <v>65</v>
      </c>
      <c r="H3" s="20" t="s">
        <v>66</v>
      </c>
      <c r="I3" s="20" t="s">
        <v>87</v>
      </c>
      <c r="J3" s="20" t="s">
        <v>2</v>
      </c>
      <c r="K3" s="20" t="s">
        <v>3</v>
      </c>
      <c r="L3" s="20" t="s">
        <v>98</v>
      </c>
      <c r="M3" s="20" t="s">
        <v>75</v>
      </c>
      <c r="N3" s="20" t="s">
        <v>67</v>
      </c>
      <c r="O3" s="20" t="s">
        <v>76</v>
      </c>
      <c r="P3" s="20" t="s">
        <v>77</v>
      </c>
      <c r="Q3" s="20" t="s">
        <v>99</v>
      </c>
      <c r="R3" s="20" t="s">
        <v>103</v>
      </c>
      <c r="S3" s="20" t="s">
        <v>104</v>
      </c>
      <c r="T3" s="20" t="s">
        <v>100</v>
      </c>
      <c r="W3" s="163"/>
      <c r="X3" s="163"/>
      <c r="Z3" s="38" t="s">
        <v>133</v>
      </c>
    </row>
    <row r="4" spans="2:31" ht="60" customHeight="1">
      <c r="B4" s="15" t="s">
        <v>132</v>
      </c>
      <c r="C4" s="15" t="s">
        <v>119</v>
      </c>
      <c r="D4" s="9" t="s">
        <v>121</v>
      </c>
      <c r="E4" s="15" t="s">
        <v>129</v>
      </c>
      <c r="F4" s="15" t="s">
        <v>123</v>
      </c>
      <c r="G4" s="9" t="s">
        <v>127</v>
      </c>
      <c r="H4" s="9" t="s">
        <v>128</v>
      </c>
      <c r="I4" s="9" t="s">
        <v>124</v>
      </c>
      <c r="J4" s="9" t="s">
        <v>125</v>
      </c>
      <c r="K4" s="9" t="s">
        <v>126</v>
      </c>
      <c r="L4" s="9" t="s">
        <v>122</v>
      </c>
      <c r="M4" s="17">
        <f>IFERROR((I4)/(1000)*L4,0)</f>
        <v>0</v>
      </c>
      <c r="N4" s="17">
        <f>IFERROR((I4*J4)/(1000^2)*L4,0)</f>
        <v>0</v>
      </c>
      <c r="O4" s="17">
        <f>IFERROR((I4*J4*K4)/(1000^3)*L4,0)</f>
        <v>0</v>
      </c>
      <c r="P4" s="17">
        <f>IF(R4=1,N4,IF(R4=0,O4,M4))</f>
        <v>0</v>
      </c>
      <c r="Q4" s="9" t="s">
        <v>130</v>
      </c>
      <c r="R4" s="9" t="s">
        <v>131</v>
      </c>
      <c r="S4" s="9" t="str">
        <f>IF(R4="","",IF(R4=1,"m²",IF(R4=0,"m3","ml")))</f>
        <v>ml</v>
      </c>
      <c r="T4" s="17">
        <f>IFERROR((P4*Q4),0)</f>
        <v>0</v>
      </c>
      <c r="W4" s="15" t="s">
        <v>170</v>
      </c>
      <c r="X4" s="15">
        <v>1</v>
      </c>
      <c r="Z4" s="15" t="s">
        <v>120</v>
      </c>
    </row>
    <row r="5" spans="2:31" ht="60" customHeight="1">
      <c r="G5"/>
      <c r="H5"/>
      <c r="W5" s="15" t="s">
        <v>171</v>
      </c>
      <c r="X5" s="15">
        <v>1</v>
      </c>
    </row>
    <row r="6" spans="2:31" ht="60" customHeight="1">
      <c r="G6"/>
      <c r="H6"/>
      <c r="W6" s="15" t="s">
        <v>183</v>
      </c>
      <c r="X6" s="15">
        <v>0</v>
      </c>
    </row>
    <row r="7" spans="2:31" ht="60" customHeight="1">
      <c r="G7"/>
      <c r="H7"/>
    </row>
    <row r="8" spans="2:31" ht="60" customHeight="1">
      <c r="F8"/>
      <c r="G8"/>
      <c r="H8"/>
    </row>
    <row r="9" spans="2:31" ht="60" customHeight="1">
      <c r="F9"/>
      <c r="G9"/>
      <c r="H9"/>
    </row>
    <row r="10" spans="2:31" ht="60" customHeight="1">
      <c r="F10"/>
      <c r="G10"/>
      <c r="H10"/>
    </row>
    <row r="11" spans="2:31" ht="60" customHeight="1">
      <c r="F11"/>
      <c r="G11"/>
      <c r="H11"/>
    </row>
    <row r="12" spans="2:31" ht="60" customHeight="1">
      <c r="F12"/>
      <c r="G12"/>
      <c r="H12"/>
    </row>
    <row r="13" spans="2:31" ht="60" customHeight="1">
      <c r="F13"/>
      <c r="G13"/>
      <c r="H13"/>
    </row>
  </sheetData>
  <mergeCells count="3">
    <mergeCell ref="B1:T1"/>
    <mergeCell ref="W2:X3"/>
    <mergeCell ref="Z2:AE2"/>
  </mergeCells>
  <printOptions horizontalCentered="1"/>
  <pageMargins left="3.937007874015748E-2" right="3.937007874015748E-2" top="3.937007874015748E-2" bottom="3.937007874015748E-2" header="0.31496062992125984" footer="0.31496062992125984"/>
  <pageSetup paperSize="9"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24025-6A8B-43DA-AB31-5D0103C9A90D}">
  <sheetPr codeName="Feuil22"/>
  <dimension ref="B1:AE13"/>
  <sheetViews>
    <sheetView workbookViewId="0">
      <selection activeCell="G8" sqref="G8"/>
    </sheetView>
  </sheetViews>
  <sheetFormatPr defaultColWidth="11.453125" defaultRowHeight="60" customHeight="1"/>
  <cols>
    <col min="1" max="1" width="8.984375E-2" customWidth="1"/>
    <col min="2" max="2" width="25.6328125" customWidth="1"/>
    <col min="3" max="3" width="23.6328125" customWidth="1"/>
    <col min="4" max="5" width="6.08984375" customWidth="1"/>
    <col min="6" max="8" width="15.90625" style="1" customWidth="1"/>
    <col min="9" max="13" width="6.6328125" customWidth="1"/>
    <col min="14" max="18" width="5.90625" customWidth="1"/>
    <col min="19" max="19" width="7.08984375" customWidth="1"/>
    <col min="20" max="20" width="5.90625" customWidth="1"/>
    <col min="21" max="21" width="8.984375E-2" customWidth="1"/>
  </cols>
  <sheetData>
    <row r="1" spans="2:31" ht="26">
      <c r="B1" s="192" t="s">
        <v>430</v>
      </c>
      <c r="C1" s="192"/>
      <c r="D1" s="192"/>
      <c r="E1" s="192"/>
      <c r="F1" s="192"/>
      <c r="G1" s="192"/>
      <c r="H1" s="192"/>
      <c r="I1" s="192"/>
      <c r="J1" s="192"/>
      <c r="K1" s="192"/>
      <c r="L1" s="192"/>
      <c r="M1" s="192"/>
      <c r="N1" s="192"/>
      <c r="O1" s="192"/>
      <c r="P1" s="192"/>
      <c r="Q1" s="192"/>
      <c r="R1" s="192"/>
      <c r="S1" s="192"/>
      <c r="T1" s="192"/>
    </row>
    <row r="2" spans="2:31" ht="25.5" customHeight="1">
      <c r="F2"/>
      <c r="G2"/>
      <c r="H2"/>
      <c r="W2" s="163" t="s">
        <v>55</v>
      </c>
      <c r="X2" s="163"/>
      <c r="Z2" s="142" t="s">
        <v>4</v>
      </c>
      <c r="AA2" s="143"/>
      <c r="AB2" s="143"/>
      <c r="AC2" s="143"/>
      <c r="AD2" s="143"/>
      <c r="AE2" s="144"/>
    </row>
    <row r="3" spans="2:31" ht="60.75" customHeight="1">
      <c r="B3" s="20" t="s">
        <v>81</v>
      </c>
      <c r="C3" s="20" t="s">
        <v>82</v>
      </c>
      <c r="D3" s="20" t="s">
        <v>101</v>
      </c>
      <c r="E3" s="20" t="s">
        <v>102</v>
      </c>
      <c r="F3" s="20" t="s">
        <v>0</v>
      </c>
      <c r="G3" s="20" t="s">
        <v>65</v>
      </c>
      <c r="H3" s="20" t="s">
        <v>66</v>
      </c>
      <c r="I3" s="20" t="s">
        <v>87</v>
      </c>
      <c r="J3" s="20" t="s">
        <v>2</v>
      </c>
      <c r="K3" s="20" t="s">
        <v>3</v>
      </c>
      <c r="L3" s="20" t="s">
        <v>98</v>
      </c>
      <c r="M3" s="20" t="s">
        <v>75</v>
      </c>
      <c r="N3" s="20" t="s">
        <v>67</v>
      </c>
      <c r="O3" s="20" t="s">
        <v>76</v>
      </c>
      <c r="P3" s="20" t="s">
        <v>77</v>
      </c>
      <c r="Q3" s="20" t="s">
        <v>99</v>
      </c>
      <c r="R3" s="20" t="s">
        <v>103</v>
      </c>
      <c r="S3" s="20" t="s">
        <v>104</v>
      </c>
      <c r="T3" s="20" t="s">
        <v>100</v>
      </c>
      <c r="W3" s="163"/>
      <c r="X3" s="163"/>
      <c r="Z3" s="38" t="s">
        <v>133</v>
      </c>
    </row>
    <row r="4" spans="2:31" ht="60" customHeight="1">
      <c r="B4" s="15"/>
      <c r="C4" s="15"/>
      <c r="D4" s="9"/>
      <c r="E4" s="15"/>
      <c r="F4" s="15"/>
      <c r="G4" s="9"/>
      <c r="H4" s="9"/>
      <c r="I4" s="9"/>
      <c r="J4" s="9"/>
      <c r="K4" s="9"/>
      <c r="L4" s="9"/>
      <c r="M4" s="17">
        <f>IFERROR((I4)/(1000)*L4,0)</f>
        <v>0</v>
      </c>
      <c r="N4" s="17">
        <f>IFERROR((I4*J4)/(1000^2)*L4,0)</f>
        <v>0</v>
      </c>
      <c r="O4" s="17">
        <f>IFERROR((I4*J4*K4)/(1000^3)*L4,0)</f>
        <v>0</v>
      </c>
      <c r="P4" s="17">
        <f>(IF(R4=1,N4,IF(R4=0,O4,M4)))</f>
        <v>0</v>
      </c>
      <c r="Q4" s="9"/>
      <c r="R4" s="9"/>
      <c r="S4" s="9" t="str">
        <f>IF(R4="","",IF(R4=1,"m²",IF(R4=0,"m3","ml")))</f>
        <v/>
      </c>
      <c r="T4" s="17">
        <f>IFERROR((P4*Q4),0)</f>
        <v>0</v>
      </c>
      <c r="W4" s="15" t="s">
        <v>170</v>
      </c>
      <c r="X4" s="15">
        <v>1</v>
      </c>
      <c r="Z4" s="15" t="s">
        <v>120</v>
      </c>
    </row>
    <row r="5" spans="2:31" ht="60" customHeight="1">
      <c r="G5"/>
      <c r="H5"/>
      <c r="W5" s="15" t="s">
        <v>171</v>
      </c>
      <c r="X5" s="15">
        <v>1</v>
      </c>
    </row>
    <row r="6" spans="2:31" ht="60" customHeight="1">
      <c r="G6"/>
      <c r="H6"/>
      <c r="W6" s="15" t="s">
        <v>183</v>
      </c>
      <c r="X6" s="15">
        <v>0</v>
      </c>
    </row>
    <row r="7" spans="2:31" ht="60" customHeight="1">
      <c r="G7"/>
      <c r="H7"/>
    </row>
    <row r="8" spans="2:31" ht="60" customHeight="1">
      <c r="F8"/>
      <c r="G8"/>
      <c r="H8"/>
    </row>
    <row r="9" spans="2:31" ht="60" customHeight="1">
      <c r="F9"/>
      <c r="G9"/>
      <c r="H9"/>
    </row>
    <row r="10" spans="2:31" ht="60" customHeight="1">
      <c r="F10"/>
      <c r="G10"/>
      <c r="H10"/>
    </row>
    <row r="11" spans="2:31" ht="60" customHeight="1">
      <c r="F11"/>
      <c r="G11"/>
      <c r="H11"/>
    </row>
    <row r="12" spans="2:31" ht="60" customHeight="1">
      <c r="F12"/>
      <c r="G12"/>
      <c r="H12"/>
    </row>
    <row r="13" spans="2:31" ht="60" customHeight="1">
      <c r="F13"/>
      <c r="G13"/>
      <c r="H13"/>
    </row>
  </sheetData>
  <mergeCells count="3">
    <mergeCell ref="B1:T1"/>
    <mergeCell ref="W2:X3"/>
    <mergeCell ref="Z2:AE2"/>
  </mergeCells>
  <printOptions horizontalCentered="1"/>
  <pageMargins left="3.937007874015748E-2" right="3.937007874015748E-2" top="3.937007874015748E-2" bottom="3.937007874015748E-2" header="0.31496062992125984" footer="0.31496062992125984"/>
  <pageSetup paperSize="9"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C0916-EB6A-4CDE-9A89-600F524AA774}">
  <sheetPr codeName="Feuil14"/>
  <dimension ref="B1:Y13"/>
  <sheetViews>
    <sheetView topLeftCell="A62" workbookViewId="0">
      <selection activeCell="N4" sqref="N4"/>
    </sheetView>
  </sheetViews>
  <sheetFormatPr defaultColWidth="11.453125" defaultRowHeight="60" customHeight="1"/>
  <cols>
    <col min="1" max="1" width="8.984375E-2" customWidth="1"/>
    <col min="2" max="3" width="28.6328125" customWidth="1"/>
    <col min="4" max="5" width="6.08984375" customWidth="1"/>
    <col min="6" max="8" width="15.90625" style="1" customWidth="1"/>
    <col min="9" max="11" width="6.6328125" customWidth="1"/>
    <col min="12" max="14" width="5.90625" customWidth="1"/>
    <col min="15" max="15" width="8.984375E-2" customWidth="1"/>
  </cols>
  <sheetData>
    <row r="1" spans="2:25" ht="26">
      <c r="B1" s="192" t="str">
        <f>VLOOKUP("Edgebands",Tp_LANGUAGE!$A$2:$Z$999,MATCH(Tp_Global!$J$6,Tp_LANGUAGE!$A$1:$Z$1,0),FALSE)</f>
        <v>Edgebands</v>
      </c>
      <c r="C1" s="192"/>
      <c r="D1" s="192"/>
      <c r="E1" s="192"/>
      <c r="F1" s="192"/>
      <c r="G1" s="192"/>
      <c r="H1" s="192"/>
      <c r="I1" s="192"/>
      <c r="J1" s="192"/>
      <c r="K1" s="192"/>
      <c r="L1" s="192"/>
      <c r="M1" s="39"/>
      <c r="N1" s="39"/>
    </row>
    <row r="2" spans="2:25" ht="25.5" customHeight="1">
      <c r="F2"/>
      <c r="G2"/>
      <c r="H2"/>
      <c r="Q2" s="163" t="s">
        <v>55</v>
      </c>
      <c r="R2" s="163"/>
      <c r="T2" s="142" t="s">
        <v>4</v>
      </c>
      <c r="U2" s="143"/>
      <c r="V2" s="143"/>
      <c r="W2" s="143"/>
      <c r="X2" s="143"/>
      <c r="Y2" s="144"/>
    </row>
    <row r="3" spans="2:25" ht="60.75" customHeight="1">
      <c r="B3" s="20" t="s">
        <v>81</v>
      </c>
      <c r="C3" s="20" t="s">
        <v>82</v>
      </c>
      <c r="D3" s="20" t="s">
        <v>101</v>
      </c>
      <c r="E3" s="20" t="s">
        <v>102</v>
      </c>
      <c r="F3" s="20" t="s">
        <v>0</v>
      </c>
      <c r="G3" s="20" t="s">
        <v>65</v>
      </c>
      <c r="H3" s="20" t="s">
        <v>66</v>
      </c>
      <c r="I3" s="20" t="s">
        <v>87</v>
      </c>
      <c r="J3" s="20" t="s">
        <v>3</v>
      </c>
      <c r="K3" s="20" t="s">
        <v>98</v>
      </c>
      <c r="L3" s="20" t="s">
        <v>69</v>
      </c>
      <c r="M3" s="20" t="s">
        <v>99</v>
      </c>
      <c r="N3" s="20" t="s">
        <v>100</v>
      </c>
      <c r="Q3" s="163"/>
      <c r="R3" s="163"/>
      <c r="T3" s="38" t="s">
        <v>144</v>
      </c>
    </row>
    <row r="4" spans="2:25" ht="60" customHeight="1">
      <c r="B4" s="15" t="s">
        <v>143</v>
      </c>
      <c r="C4" s="15" t="s">
        <v>119</v>
      </c>
      <c r="D4" s="9" t="s">
        <v>121</v>
      </c>
      <c r="E4" s="9" t="s">
        <v>138</v>
      </c>
      <c r="F4" s="15" t="s">
        <v>136</v>
      </c>
      <c r="G4" s="9" t="s">
        <v>140</v>
      </c>
      <c r="H4" s="9" t="s">
        <v>141</v>
      </c>
      <c r="I4" s="9" t="s">
        <v>137</v>
      </c>
      <c r="J4" s="9" t="s">
        <v>139</v>
      </c>
      <c r="K4" s="9" t="s">
        <v>135</v>
      </c>
      <c r="L4" s="17">
        <f>IFERROR((I4)/(1000)*K4,0)</f>
        <v>0</v>
      </c>
      <c r="M4" s="17" t="s">
        <v>142</v>
      </c>
      <c r="N4" s="17">
        <f>IFERROR((L4*M4),0)</f>
        <v>0</v>
      </c>
      <c r="Q4" s="15" t="s">
        <v>170</v>
      </c>
      <c r="R4" s="15">
        <v>1</v>
      </c>
      <c r="T4" s="15" t="s">
        <v>134</v>
      </c>
    </row>
    <row r="5" spans="2:25" ht="60" customHeight="1">
      <c r="Q5" s="15" t="s">
        <v>171</v>
      </c>
      <c r="R5" s="15">
        <v>1</v>
      </c>
    </row>
    <row r="6" spans="2:25" ht="60" customHeight="1">
      <c r="Q6" s="15" t="s">
        <v>183</v>
      </c>
      <c r="R6" s="15">
        <v>0</v>
      </c>
    </row>
    <row r="8" spans="2:25" ht="60" customHeight="1">
      <c r="F8"/>
      <c r="G8"/>
      <c r="H8"/>
    </row>
    <row r="9" spans="2:25" ht="60" customHeight="1">
      <c r="F9"/>
      <c r="G9"/>
      <c r="H9"/>
    </row>
    <row r="10" spans="2:25" ht="60" customHeight="1">
      <c r="F10"/>
      <c r="G10"/>
      <c r="H10"/>
    </row>
    <row r="11" spans="2:25" ht="60" customHeight="1">
      <c r="F11"/>
      <c r="G11"/>
      <c r="H11"/>
    </row>
    <row r="12" spans="2:25" ht="60" customHeight="1">
      <c r="F12"/>
      <c r="G12"/>
      <c r="H12"/>
    </row>
    <row r="13" spans="2:25" ht="60" customHeight="1">
      <c r="F13"/>
      <c r="G13"/>
      <c r="H13"/>
    </row>
  </sheetData>
  <mergeCells count="3">
    <mergeCell ref="B1:L1"/>
    <mergeCell ref="T2:Y2"/>
    <mergeCell ref="Q2:R3"/>
  </mergeCells>
  <printOptions horizontalCentered="1"/>
  <pageMargins left="3.937007874015748E-2" right="3.937007874015748E-2" top="3.937007874015748E-2" bottom="3.937007874015748E-2" header="0.31496062992125984" footer="0.31496062992125984"/>
  <pageSetup paperSize="9"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DA156-A708-463D-B1E6-9D09E3AB5B17}">
  <sheetPr codeName="Feuil15"/>
  <dimension ref="B1:S16"/>
  <sheetViews>
    <sheetView workbookViewId="0">
      <selection activeCell="L12" sqref="L12"/>
    </sheetView>
  </sheetViews>
  <sheetFormatPr defaultColWidth="11.453125" defaultRowHeight="60" customHeight="1"/>
  <cols>
    <col min="1" max="1" width="8.984375E-2" customWidth="1"/>
    <col min="2" max="2" width="24" customWidth="1"/>
    <col min="3" max="3" width="21.08984375" customWidth="1"/>
    <col min="4" max="5" width="12.90625" style="1" customWidth="1"/>
    <col min="6" max="6" width="4.90625" bestFit="1" customWidth="1"/>
    <col min="7" max="7" width="8.6328125" customWidth="1"/>
    <col min="8" max="8" width="13.453125" customWidth="1"/>
    <col min="9" max="9" width="8.984375E-2" customWidth="1"/>
  </cols>
  <sheetData>
    <row r="1" spans="2:19" ht="18">
      <c r="G1" s="126" t="s">
        <v>415</v>
      </c>
      <c r="H1" s="126"/>
    </row>
    <row r="2" spans="2:19" ht="18">
      <c r="G2" s="126" t="s">
        <v>78</v>
      </c>
      <c r="H2" s="126"/>
    </row>
    <row r="3" spans="2:19" ht="18">
      <c r="G3" s="126" t="s">
        <v>79</v>
      </c>
      <c r="H3" s="126"/>
    </row>
    <row r="4" spans="2:19" ht="12" customHeight="1"/>
    <row r="5" spans="2:19" ht="60" customHeight="1">
      <c r="C5" s="190" t="s">
        <v>96</v>
      </c>
      <c r="D5" s="190"/>
      <c r="E5" s="190"/>
      <c r="F5" s="190"/>
    </row>
    <row r="6" spans="2:19" ht="15.75" customHeight="1" thickBot="1">
      <c r="D6"/>
      <c r="E6"/>
      <c r="G6" s="191"/>
      <c r="H6" s="191"/>
      <c r="K6" s="163" t="s">
        <v>55</v>
      </c>
      <c r="L6" s="163"/>
      <c r="N6" s="142" t="s">
        <v>4</v>
      </c>
      <c r="O6" s="143"/>
      <c r="P6" s="143"/>
      <c r="Q6" s="143"/>
      <c r="R6" s="143"/>
      <c r="S6" s="144"/>
    </row>
    <row r="7" spans="2:19" ht="60.75" customHeight="1" thickBot="1">
      <c r="B7" s="41" t="s">
        <v>81</v>
      </c>
      <c r="C7" s="41" t="s">
        <v>97</v>
      </c>
      <c r="D7" s="41" t="s">
        <v>65</v>
      </c>
      <c r="E7" s="41" t="s">
        <v>109</v>
      </c>
      <c r="F7" s="42" t="s">
        <v>98</v>
      </c>
      <c r="G7" s="41" t="s">
        <v>99</v>
      </c>
      <c r="H7" s="42" t="s">
        <v>100</v>
      </c>
      <c r="K7" s="163"/>
      <c r="L7" s="163"/>
      <c r="N7" s="38" t="s">
        <v>155</v>
      </c>
    </row>
    <row r="8" spans="2:19" ht="60" customHeight="1">
      <c r="B8" s="15" t="s">
        <v>154</v>
      </c>
      <c r="C8" s="19" t="s">
        <v>145</v>
      </c>
      <c r="D8" s="35" t="s">
        <v>147</v>
      </c>
      <c r="E8" s="35" t="s">
        <v>148</v>
      </c>
      <c r="F8" s="6" t="s">
        <v>146</v>
      </c>
      <c r="G8" s="16" t="s">
        <v>151</v>
      </c>
      <c r="H8" s="16">
        <f>IFERROR((G8*F8),0)</f>
        <v>0</v>
      </c>
      <c r="K8" s="15" t="s">
        <v>170</v>
      </c>
      <c r="L8" s="15">
        <v>1</v>
      </c>
      <c r="N8" s="15" t="s">
        <v>149</v>
      </c>
    </row>
    <row r="9" spans="2:19" ht="60" customHeight="1">
      <c r="K9" s="15" t="s">
        <v>171</v>
      </c>
      <c r="L9" s="15">
        <v>1</v>
      </c>
      <c r="N9" s="15" t="s">
        <v>150</v>
      </c>
    </row>
    <row r="10" spans="2:19" ht="60" customHeight="1">
      <c r="K10" s="15" t="s">
        <v>183</v>
      </c>
      <c r="L10" s="15">
        <v>0</v>
      </c>
      <c r="N10" s="15" t="s">
        <v>152</v>
      </c>
    </row>
    <row r="11" spans="2:19" ht="60" customHeight="1">
      <c r="D11"/>
      <c r="E11"/>
      <c r="N11" s="19" t="s">
        <v>153</v>
      </c>
    </row>
    <row r="12" spans="2:19" ht="60" customHeight="1">
      <c r="D12"/>
      <c r="E12"/>
    </row>
    <row r="13" spans="2:19" ht="60" customHeight="1">
      <c r="D13"/>
      <c r="E13"/>
    </row>
    <row r="14" spans="2:19" ht="60" customHeight="1">
      <c r="D14"/>
      <c r="E14"/>
    </row>
    <row r="15" spans="2:19" ht="60" customHeight="1">
      <c r="D15"/>
      <c r="E15"/>
    </row>
    <row r="16" spans="2:19" ht="60" customHeight="1">
      <c r="D16"/>
      <c r="E16"/>
    </row>
  </sheetData>
  <mergeCells count="7">
    <mergeCell ref="C5:F5"/>
    <mergeCell ref="G6:H6"/>
    <mergeCell ref="K6:L7"/>
    <mergeCell ref="N6:S6"/>
    <mergeCell ref="G1:H1"/>
    <mergeCell ref="G2:H2"/>
    <mergeCell ref="G3:H3"/>
  </mergeCells>
  <printOptions horizontalCentered="1"/>
  <pageMargins left="3.937007874015748E-2" right="3.937007874015748E-2" top="3.937007874015748E-2" bottom="3.937007874015748E-2" header="0.31496062992125984" footer="0.31496062992125984"/>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43207-71EF-4886-B162-5C2AF5CBEE49}">
  <sheetPr codeName="Feuil21"/>
  <dimension ref="B1:S16"/>
  <sheetViews>
    <sheetView workbookViewId="0">
      <selection activeCell="G2" sqref="G2:H2"/>
    </sheetView>
  </sheetViews>
  <sheetFormatPr defaultColWidth="11.453125" defaultRowHeight="60" customHeight="1"/>
  <cols>
    <col min="1" max="1" width="8.984375E-2" customWidth="1"/>
    <col min="2" max="2" width="24" customWidth="1"/>
    <col min="3" max="3" width="21.08984375" customWidth="1"/>
    <col min="4" max="5" width="12.90625" style="1" customWidth="1"/>
    <col min="6" max="6" width="4.90625" bestFit="1" customWidth="1"/>
    <col min="7" max="7" width="8.6328125" customWidth="1"/>
    <col min="8" max="8" width="13.453125" customWidth="1"/>
    <col min="9" max="9" width="8.984375E-2" customWidth="1"/>
  </cols>
  <sheetData>
    <row r="1" spans="2:19" ht="18">
      <c r="G1" s="126" t="str">
        <f>VLOOKUP(": Date",Tp_LANGUAGE!$A$2:$Z$1001,MATCH(Tp_Global!$J$6,Tp_LANGUAGE!$A$1:$Z$1,0),FALSE)</f>
        <v>: Date</v>
      </c>
      <c r="H1" s="126"/>
    </row>
    <row r="2" spans="2:19" ht="18">
      <c r="G2" s="126" t="str">
        <f>VLOOKUP(": Ref Company",Tp_LANGUAGE!$A$2:$Z$1001,MATCH(Tp_Global!$J$6,Tp_LANGUAGE!$A$1:$Z$1,0),FALSE)</f>
        <v>: Ref Company</v>
      </c>
      <c r="H2" s="126"/>
    </row>
    <row r="3" spans="2:19" ht="18">
      <c r="G3" s="126" t="str">
        <f>VLOOKUP(": Ref Customer",Tp_LANGUAGE!$A$2:$Z$1001,MATCH(Tp_Global!$J$6,Tp_LANGUAGE!$A$1:$Z$1,0),FALSE)</f>
        <v>: Ref Customer</v>
      </c>
      <c r="H3" s="126"/>
    </row>
    <row r="4" spans="2:19" ht="12" customHeight="1"/>
    <row r="5" spans="2:19" ht="60" customHeight="1">
      <c r="C5" s="190" t="str">
        <f>VLOOKUP("Hardwares",Tp_LANGUAGE!$A$2:$Z$1001,MATCH(Tp_Global!$J$6,Tp_LANGUAGE!$A$1:$Z$1,0),FALSE)</f>
        <v>Hardwares</v>
      </c>
      <c r="D5" s="190"/>
      <c r="E5" s="190"/>
      <c r="F5" s="190"/>
    </row>
    <row r="6" spans="2:19" ht="15.75" customHeight="1" thickBot="1">
      <c r="D6"/>
      <c r="E6"/>
      <c r="G6" s="191"/>
      <c r="H6" s="191"/>
      <c r="K6" s="163" t="s">
        <v>55</v>
      </c>
      <c r="L6" s="163"/>
      <c r="N6" s="142" t="s">
        <v>4</v>
      </c>
      <c r="O6" s="143"/>
      <c r="P6" s="143"/>
      <c r="Q6" s="143"/>
      <c r="R6" s="143"/>
      <c r="S6" s="144"/>
    </row>
    <row r="7" spans="2:19" ht="60.75" customHeight="1" thickBot="1">
      <c r="B7" s="41" t="str">
        <f>VLOOKUP("Picture",Tp_LANGUAGE!$A$2:$Z$1001,MATCH(Tp_Global!$J$6,Tp_LANGUAGE!$A$1:$Z$1,0),FALSE)</f>
        <v>Picture</v>
      </c>
      <c r="C7" s="41" t="str">
        <f>VLOOKUP("Name",Tp_LANGUAGE!$A$2:$Z$1001,MATCH(Tp_Global!$J$6,Tp_LANGUAGE!$A$1:$Z$1,0),FALSE)</f>
        <v>Name</v>
      </c>
      <c r="D7" s="41" t="str">
        <f>VLOOKUP("Supplier",Tp_LANGUAGE!$A$2:$Z$1001,MATCH(Tp_Global!$J$6,Tp_LANGUAGE!$A$1:$Z$1,0),FALSE)</f>
        <v>Supplier</v>
      </c>
      <c r="E7" s="41" t="str">
        <f>VLOOKUP("Supplier Ref",Tp_LANGUAGE!$A$2:$Z$1001,MATCH(Tp_Global!$J$6,Tp_LANGUAGE!$A$1:$Z$1,0),FALSE)</f>
        <v>Supplier Ref</v>
      </c>
      <c r="F7" s="42" t="str">
        <f>VLOOKUP("Qty",Tp_LANGUAGE!$A$2:$Z$1001,MATCH(Tp_Global!$J$6,Tp_LANGUAGE!$A$1:$Z$1,0),FALSE)</f>
        <v>Qty</v>
      </c>
      <c r="G7" s="41" t="str">
        <f>VLOOKUP("Unit Cost",Tp_LANGUAGE!$A$2:$Z$1001,MATCH(Tp_Global!$J$6,Tp_LANGUAGE!$A$1:$Z$1,0),FALSE)</f>
        <v>Unit Cost</v>
      </c>
      <c r="H7" s="42" t="str">
        <f>VLOOKUP("Total Cost",Tp_LANGUAGE!$A$2:$Z$1001,MATCH(Tp_Global!$J$6,Tp_LANGUAGE!$A$1:$Z$1,0),FALSE)</f>
        <v>Total Cost</v>
      </c>
      <c r="K7" s="163"/>
      <c r="L7" s="163"/>
      <c r="N7" s="38" t="s">
        <v>155</v>
      </c>
    </row>
    <row r="8" spans="2:19" ht="60" customHeight="1">
      <c r="B8" s="15" t="s">
        <v>154</v>
      </c>
      <c r="C8" s="19" t="s">
        <v>145</v>
      </c>
      <c r="D8" s="35" t="s">
        <v>147</v>
      </c>
      <c r="E8" s="35" t="s">
        <v>148</v>
      </c>
      <c r="F8" s="6" t="s">
        <v>146</v>
      </c>
      <c r="G8" s="16" t="s">
        <v>151</v>
      </c>
      <c r="H8" s="16" t="str">
        <f>VLOOKUP("F",Tp_LANGUAGE!$A$2:$Z$1001,MATCH(Tp_Global!$J$6,Tp_LANGUAGE!$A$1:$Z$1,0),FALSE)</f>
        <v>F</v>
      </c>
      <c r="K8" s="15" t="s">
        <v>170</v>
      </c>
      <c r="L8" s="15">
        <v>1</v>
      </c>
      <c r="N8" s="15" t="s">
        <v>149</v>
      </c>
    </row>
    <row r="9" spans="2:19" ht="60" customHeight="1">
      <c r="K9" s="15" t="s">
        <v>171</v>
      </c>
      <c r="L9" s="15">
        <v>0</v>
      </c>
      <c r="N9" s="15" t="s">
        <v>150</v>
      </c>
    </row>
    <row r="10" spans="2:19" ht="60" customHeight="1">
      <c r="K10" s="15" t="s">
        <v>183</v>
      </c>
      <c r="L10" s="15">
        <v>0</v>
      </c>
      <c r="N10" s="15" t="s">
        <v>152</v>
      </c>
    </row>
    <row r="11" spans="2:19" ht="60" customHeight="1">
      <c r="D11"/>
      <c r="E11"/>
      <c r="N11" s="19" t="s">
        <v>153</v>
      </c>
    </row>
    <row r="12" spans="2:19" ht="60" customHeight="1">
      <c r="D12"/>
      <c r="E12"/>
    </row>
    <row r="13" spans="2:19" ht="60" customHeight="1">
      <c r="D13"/>
      <c r="E13"/>
    </row>
    <row r="14" spans="2:19" ht="60" customHeight="1">
      <c r="D14"/>
      <c r="E14"/>
    </row>
    <row r="15" spans="2:19" ht="60" customHeight="1">
      <c r="D15"/>
      <c r="E15"/>
    </row>
    <row r="16" spans="2:19" ht="60" customHeight="1">
      <c r="D16"/>
      <c r="E16"/>
    </row>
  </sheetData>
  <mergeCells count="7">
    <mergeCell ref="N6:S6"/>
    <mergeCell ref="G1:H1"/>
    <mergeCell ref="G2:H2"/>
    <mergeCell ref="G3:H3"/>
    <mergeCell ref="C5:F5"/>
    <mergeCell ref="G6:H6"/>
    <mergeCell ref="K6:L7"/>
  </mergeCells>
  <printOptions horizontalCentered="1"/>
  <pageMargins left="3.937007874015748E-2" right="3.937007874015748E-2" top="3.937007874015748E-2" bottom="3.937007874015748E-2" header="0.31496062992125984" footer="0.31496062992125984"/>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7DA08-37A3-4E6E-B4F1-001D927EBC5C}">
  <sheetPr codeName="Feuil16"/>
  <dimension ref="A1:AI204"/>
  <sheetViews>
    <sheetView topLeftCell="B1" zoomScale="70" zoomScaleNormal="70" workbookViewId="0">
      <selection activeCell="D10" sqref="D10"/>
    </sheetView>
  </sheetViews>
  <sheetFormatPr defaultColWidth="11.453125" defaultRowHeight="60" customHeight="1"/>
  <cols>
    <col min="1" max="1" width="19.36328125" style="23" hidden="1" customWidth="1"/>
    <col min="2" max="2" width="23" style="23" customWidth="1"/>
    <col min="3" max="3" width="23" style="23" hidden="1" customWidth="1"/>
    <col min="4" max="5" width="23.08984375" style="23" customWidth="1"/>
    <col min="6" max="6" width="11.90625" style="23" customWidth="1"/>
    <col min="7" max="9" width="7.6328125" style="23" customWidth="1"/>
    <col min="10" max="10" width="8.6328125" style="23" customWidth="1"/>
    <col min="11" max="16" width="9.6328125" style="23" customWidth="1"/>
    <col min="17" max="17" width="30.6328125" style="23" customWidth="1"/>
    <col min="18" max="21" width="18.54296875" style="23" customWidth="1"/>
    <col min="22" max="23" width="11.453125" style="23" customWidth="1"/>
    <col min="24" max="24" width="13.90625" style="23" customWidth="1"/>
    <col min="25" max="25" width="5" style="23" bestFit="1" customWidth="1"/>
    <col min="26" max="26" width="9.08984375" style="23" customWidth="1"/>
    <col min="27" max="27" width="20.6328125" style="23" customWidth="1"/>
    <col min="28" max="28" width="20.6328125" style="28" customWidth="1"/>
    <col min="29" max="32" width="20.6328125" style="23" customWidth="1"/>
    <col min="33" max="33" width="7.36328125" style="23" bestFit="1" customWidth="1"/>
    <col min="34" max="34" width="20.6328125" style="23" customWidth="1"/>
    <col min="35" max="35" width="24" style="23" customWidth="1"/>
    <col min="36" max="36" width="20.6328125" style="23" customWidth="1"/>
    <col min="37" max="16384" width="11.453125" style="23"/>
  </cols>
  <sheetData>
    <row r="1" spans="1:35" ht="20.149999999999999" customHeight="1">
      <c r="A1" s="82"/>
      <c r="B1" s="83"/>
      <c r="C1" s="83"/>
      <c r="D1" s="146"/>
      <c r="E1" s="146"/>
      <c r="F1" s="147"/>
      <c r="G1" s="127" t="s">
        <v>506</v>
      </c>
      <c r="H1" s="128"/>
      <c r="I1" s="129"/>
      <c r="J1" s="120" t="str">
        <f>_STR16</f>
        <v>STR16-[PROJNOM]</v>
      </c>
      <c r="K1" s="121"/>
      <c r="L1" s="121"/>
      <c r="M1" s="121"/>
      <c r="N1" s="121"/>
      <c r="O1" s="121"/>
      <c r="P1" s="122"/>
      <c r="Q1" s="126" t="str">
        <f>VLOOKUP(": Date",Tp_LANGUAGE!$A$2:$Z$1001,MATCH(Tp_Global!$J$6,Tp_LANGUAGE!$A$1:$Z$1,0),FALSE)</f>
        <v>: Date</v>
      </c>
      <c r="R1" s="126"/>
      <c r="S1" s="40"/>
      <c r="T1" s="40"/>
      <c r="U1" s="40"/>
      <c r="V1" s="40"/>
      <c r="W1" s="40"/>
    </row>
    <row r="2" spans="1:35" ht="20.149999999999999" customHeight="1" thickBot="1">
      <c r="A2" s="82"/>
      <c r="B2" s="83"/>
      <c r="C2" s="83"/>
      <c r="D2" s="146"/>
      <c r="E2" s="146"/>
      <c r="F2" s="147"/>
      <c r="G2" s="130"/>
      <c r="H2" s="131"/>
      <c r="I2" s="132"/>
      <c r="J2" s="123"/>
      <c r="K2" s="124"/>
      <c r="L2" s="124"/>
      <c r="M2" s="124"/>
      <c r="N2" s="124"/>
      <c r="O2" s="124"/>
      <c r="P2" s="125"/>
      <c r="Q2" s="126" t="str">
        <f>VLOOKUP(": Ref Company",Tp_LANGUAGE!$A$2:$Z$1001,MATCH(Tp_Global!$J$6,Tp_LANGUAGE!$A$1:$Z$1,0),FALSE)</f>
        <v>: Ref Company</v>
      </c>
      <c r="R2" s="126"/>
      <c r="S2" s="40"/>
      <c r="T2" s="40"/>
      <c r="U2" s="40"/>
      <c r="V2" s="40"/>
      <c r="W2" s="40"/>
      <c r="AB2" s="23"/>
    </row>
    <row r="3" spans="1:35" ht="20.149999999999999" customHeight="1">
      <c r="A3" s="82"/>
      <c r="B3" s="83"/>
      <c r="C3" s="83"/>
      <c r="D3" s="146"/>
      <c r="E3" s="146"/>
      <c r="F3" s="147"/>
      <c r="G3" s="127" t="s">
        <v>507</v>
      </c>
      <c r="H3" s="128"/>
      <c r="I3" s="129"/>
      <c r="J3" s="133"/>
      <c r="K3" s="134"/>
      <c r="L3" s="134"/>
      <c r="M3" s="134"/>
      <c r="N3" s="134"/>
      <c r="O3" s="134"/>
      <c r="P3" s="135"/>
      <c r="Q3" s="126" t="str">
        <f>VLOOKUP(": Ref Customer",Tp_LANGUAGE!$A$2:$Z$1001,MATCH(Tp_Global!$J$6,Tp_LANGUAGE!$A$1:$Z$1,0),FALSE)</f>
        <v>: Ref Customer</v>
      </c>
      <c r="R3" s="126"/>
      <c r="S3" s="40"/>
      <c r="T3" s="40"/>
      <c r="U3" s="40"/>
      <c r="V3" s="40"/>
      <c r="W3" s="40"/>
      <c r="AB3" s="23"/>
    </row>
    <row r="4" spans="1:35" ht="20.149999999999999" customHeight="1" thickBot="1">
      <c r="A4" s="82"/>
      <c r="B4" s="83"/>
      <c r="C4" s="83"/>
      <c r="D4" s="146"/>
      <c r="E4" s="146"/>
      <c r="F4" s="147"/>
      <c r="G4" s="130"/>
      <c r="H4" s="131"/>
      <c r="I4" s="132"/>
      <c r="J4" s="136"/>
      <c r="K4" s="137"/>
      <c r="L4" s="137"/>
      <c r="M4" s="137"/>
      <c r="N4" s="137"/>
      <c r="O4" s="137"/>
      <c r="P4" s="138"/>
      <c r="Q4" s="40"/>
      <c r="AB4" s="23"/>
    </row>
    <row r="5" spans="1:35" ht="20.149999999999999" customHeight="1">
      <c r="A5" s="82"/>
      <c r="B5" s="83"/>
      <c r="C5" s="83"/>
      <c r="D5" s="146"/>
      <c r="E5" s="146"/>
      <c r="F5" s="147"/>
      <c r="G5" s="108" t="s">
        <v>508</v>
      </c>
      <c r="H5" s="109"/>
      <c r="I5" s="110"/>
      <c r="J5" s="114"/>
      <c r="K5" s="115"/>
      <c r="L5" s="115"/>
      <c r="M5" s="115"/>
      <c r="N5" s="115"/>
      <c r="O5" s="115"/>
      <c r="P5" s="116"/>
      <c r="Q5" s="32" t="s">
        <v>473</v>
      </c>
      <c r="R5" s="26"/>
      <c r="S5" s="26"/>
      <c r="T5" s="26"/>
      <c r="U5" s="26"/>
      <c r="V5" s="26"/>
      <c r="W5" s="26"/>
      <c r="AB5" s="23"/>
    </row>
    <row r="6" spans="1:35" ht="20.149999999999999" customHeight="1" thickBot="1">
      <c r="A6" s="82"/>
      <c r="B6" s="84"/>
      <c r="C6" s="84"/>
      <c r="D6" s="146"/>
      <c r="E6" s="146"/>
      <c r="F6" s="147"/>
      <c r="G6" s="111"/>
      <c r="H6" s="112"/>
      <c r="I6" s="113"/>
      <c r="J6" s="117"/>
      <c r="K6" s="118"/>
      <c r="L6" s="118"/>
      <c r="M6" s="118"/>
      <c r="N6" s="118"/>
      <c r="O6" s="118"/>
      <c r="P6" s="119"/>
      <c r="Q6" s="27"/>
      <c r="R6" s="27"/>
      <c r="S6" s="27"/>
      <c r="T6" s="27"/>
      <c r="U6" s="27"/>
      <c r="V6" s="27"/>
      <c r="W6" s="27"/>
      <c r="AB6" s="23"/>
    </row>
    <row r="7" spans="1:35" ht="39.9" customHeight="1" thickBot="1">
      <c r="A7" s="82"/>
      <c r="B7" s="85"/>
      <c r="C7" s="85"/>
      <c r="D7" s="146"/>
      <c r="E7" s="146"/>
      <c r="F7" s="147"/>
      <c r="G7" s="150" t="s">
        <v>509</v>
      </c>
      <c r="H7" s="151"/>
      <c r="I7" s="152"/>
      <c r="J7" s="153"/>
      <c r="K7" s="153"/>
      <c r="L7" s="153"/>
      <c r="M7" s="153"/>
      <c r="N7" s="153"/>
      <c r="O7" s="153"/>
      <c r="P7" s="154"/>
      <c r="Q7" s="21"/>
      <c r="R7" s="37"/>
      <c r="S7" s="37"/>
      <c r="T7" s="37"/>
      <c r="U7" s="37"/>
      <c r="V7" s="37"/>
      <c r="W7" s="37"/>
    </row>
    <row r="8" spans="1:35" ht="30.75" customHeight="1" thickBot="1">
      <c r="A8" s="82"/>
      <c r="B8" s="86"/>
      <c r="C8" s="86"/>
      <c r="D8" s="148"/>
      <c r="E8" s="148"/>
      <c r="F8" s="149"/>
      <c r="G8" s="155" t="s">
        <v>510</v>
      </c>
      <c r="H8" s="156"/>
      <c r="I8" s="157"/>
      <c r="J8" s="87"/>
      <c r="K8" s="158" t="s">
        <v>495</v>
      </c>
      <c r="L8" s="159"/>
      <c r="M8" s="159"/>
      <c r="N8" s="160"/>
      <c r="O8" s="161" t="s">
        <v>511</v>
      </c>
      <c r="P8" s="162"/>
      <c r="Q8" s="79"/>
      <c r="R8" s="79"/>
      <c r="S8" s="79"/>
      <c r="T8" s="79"/>
      <c r="U8" s="79"/>
      <c r="V8" s="50"/>
      <c r="W8" s="50"/>
      <c r="X8" s="163" t="s">
        <v>55</v>
      </c>
      <c r="Y8" s="163"/>
      <c r="AA8" s="142" t="s">
        <v>4</v>
      </c>
      <c r="AB8" s="143"/>
      <c r="AC8" s="143"/>
      <c r="AD8" s="143"/>
      <c r="AE8" s="143"/>
      <c r="AF8" s="144"/>
    </row>
    <row r="9" spans="1:35" ht="45.75" customHeight="1" thickBot="1">
      <c r="A9" s="67" t="s">
        <v>496</v>
      </c>
      <c r="B9" s="89" t="s">
        <v>497</v>
      </c>
      <c r="C9" s="67" t="s">
        <v>505</v>
      </c>
      <c r="D9" s="67" t="s">
        <v>498</v>
      </c>
      <c r="E9" s="89" t="s">
        <v>499</v>
      </c>
      <c r="F9" s="67" t="s">
        <v>500</v>
      </c>
      <c r="G9" s="81" t="s">
        <v>89</v>
      </c>
      <c r="H9" s="81" t="s">
        <v>90</v>
      </c>
      <c r="I9" s="81" t="s">
        <v>88</v>
      </c>
      <c r="J9" s="81" t="s">
        <v>501</v>
      </c>
      <c r="K9" s="81" t="s">
        <v>91</v>
      </c>
      <c r="L9" s="81" t="s">
        <v>92</v>
      </c>
      <c r="M9" s="81" t="s">
        <v>89</v>
      </c>
      <c r="N9" s="81" t="s">
        <v>93</v>
      </c>
      <c r="O9" s="88" t="s">
        <v>502</v>
      </c>
      <c r="P9" s="88" t="s">
        <v>503</v>
      </c>
      <c r="Q9" s="77" t="s">
        <v>504</v>
      </c>
      <c r="R9" s="81" t="s">
        <v>505</v>
      </c>
      <c r="S9" s="50"/>
      <c r="T9" s="50"/>
      <c r="U9" s="50"/>
      <c r="V9" s="50"/>
      <c r="W9" s="50"/>
      <c r="X9" s="163"/>
      <c r="Y9" s="163"/>
      <c r="AA9" s="49" t="s">
        <v>80</v>
      </c>
      <c r="AB9" s="23"/>
      <c r="AG9" s="49"/>
    </row>
    <row r="10" spans="1:35" ht="60" customHeight="1">
      <c r="A10" s="78" t="str">
        <f>D10</f>
        <v>&lt;STR2&gt;[DB_PART]</v>
      </c>
      <c r="B10" s="65" t="s">
        <v>479</v>
      </c>
      <c r="C10" s="65" t="s">
        <v>27</v>
      </c>
      <c r="D10" s="90" t="s">
        <v>515</v>
      </c>
      <c r="E10" s="65" t="s">
        <v>7</v>
      </c>
      <c r="F10" s="80" t="s">
        <v>169</v>
      </c>
      <c r="G10" s="32" t="s">
        <v>158</v>
      </c>
      <c r="H10" s="32" t="s">
        <v>159</v>
      </c>
      <c r="I10" s="32" t="s">
        <v>160</v>
      </c>
      <c r="J10" s="32" t="s">
        <v>161</v>
      </c>
      <c r="K10" s="32" t="s">
        <v>162</v>
      </c>
      <c r="L10" s="32" t="s">
        <v>163</v>
      </c>
      <c r="M10" s="32" t="s">
        <v>164</v>
      </c>
      <c r="N10" s="32" t="s">
        <v>165</v>
      </c>
      <c r="O10" s="32" t="s">
        <v>166</v>
      </c>
      <c r="P10" s="32" t="s">
        <v>167</v>
      </c>
      <c r="Q10" s="32" t="s">
        <v>168</v>
      </c>
      <c r="R10" s="32" t="str">
        <f>$Q$5&amp;""&amp;(ROW()-9)</f>
        <v>STR16-[PROJNOM]1</v>
      </c>
      <c r="S10" s="51"/>
      <c r="T10" s="51"/>
      <c r="U10" s="51"/>
      <c r="V10" s="51"/>
      <c r="W10" s="51"/>
      <c r="X10" s="32" t="s">
        <v>170</v>
      </c>
      <c r="Y10" s="32">
        <v>1</v>
      </c>
      <c r="AA10" s="32" t="s">
        <v>472</v>
      </c>
      <c r="AB10" s="23"/>
      <c r="AG10" s="32" t="s">
        <v>474</v>
      </c>
      <c r="AH10" s="23" t="str">
        <f>RIGHT(R10,LEN(R10)-FIND($Q$5,R10)+1)</f>
        <v>STR16-[PROJNOM]1</v>
      </c>
      <c r="AI10" s="23" t="str">
        <f t="array" ref="AI10">_xlfn.TEXTSPLIT(AH10,"_")</f>
        <v>STR16-[PROJNOM]1</v>
      </c>
    </row>
    <row r="11" spans="1:35" ht="60" customHeight="1">
      <c r="A11" s="78">
        <f t="shared" ref="A11:A74" si="0">D11</f>
        <v>0</v>
      </c>
      <c r="C11" s="32"/>
      <c r="E11" s="65"/>
      <c r="I11" s="34"/>
      <c r="N11" s="34"/>
      <c r="O11" s="34"/>
      <c r="P11" s="34"/>
      <c r="S11" s="51"/>
      <c r="V11" s="51"/>
      <c r="W11" s="51"/>
      <c r="X11" s="32" t="s">
        <v>171</v>
      </c>
      <c r="Y11" s="32">
        <v>0</v>
      </c>
      <c r="AB11" s="23"/>
      <c r="AG11" s="32" t="s">
        <v>475</v>
      </c>
      <c r="AH11" s="23" t="e">
        <f t="shared" ref="AH11:AH74" si="1">RIGHT(R11,LEN(R11)-FIND($Q$5,R11)+1)</f>
        <v>#VALUE!</v>
      </c>
      <c r="AI11" s="23" t="e">
        <f t="array" ref="AI11">_xlfn.TEXTSPLIT(AH11,"_")</f>
        <v>#VALUE!</v>
      </c>
    </row>
    <row r="12" spans="1:35" ht="60" customHeight="1">
      <c r="A12" s="78">
        <f t="shared" si="0"/>
        <v>0</v>
      </c>
      <c r="C12" s="32"/>
      <c r="E12" s="65"/>
      <c r="S12" s="51"/>
      <c r="V12" s="51"/>
      <c r="W12" s="51"/>
      <c r="X12" s="32" t="s">
        <v>183</v>
      </c>
      <c r="Y12" s="32">
        <v>0</v>
      </c>
      <c r="AG12" s="32" t="s">
        <v>476</v>
      </c>
      <c r="AH12" s="23" t="e">
        <f t="shared" si="1"/>
        <v>#VALUE!</v>
      </c>
      <c r="AI12" s="23" t="e">
        <f t="array" ref="AI12">_xlfn.TEXTSPLIT(AH12,"_")</f>
        <v>#VALUE!</v>
      </c>
    </row>
    <row r="13" spans="1:35" ht="60" customHeight="1">
      <c r="A13" s="78">
        <f t="shared" si="0"/>
        <v>0</v>
      </c>
      <c r="C13" s="32"/>
      <c r="E13" s="65"/>
      <c r="S13" s="51"/>
      <c r="V13" s="51"/>
      <c r="W13" s="51"/>
      <c r="AB13" s="32"/>
      <c r="AG13" s="32" t="s">
        <v>477</v>
      </c>
      <c r="AH13" s="23" t="e">
        <f t="shared" si="1"/>
        <v>#VALUE!</v>
      </c>
      <c r="AI13" s="23" t="e">
        <f t="array" ref="AI13">_xlfn.TEXTSPLIT(AH13,"_")</f>
        <v>#VALUE!</v>
      </c>
    </row>
    <row r="14" spans="1:35" ht="60" customHeight="1">
      <c r="A14" s="78">
        <f t="shared" si="0"/>
        <v>0</v>
      </c>
      <c r="C14" s="32"/>
      <c r="E14" s="65"/>
      <c r="S14" s="51"/>
      <c r="V14" s="51"/>
      <c r="W14" s="51"/>
      <c r="AB14" s="23"/>
      <c r="AG14" s="32" t="s">
        <v>478</v>
      </c>
      <c r="AH14" s="23" t="e">
        <f t="shared" si="1"/>
        <v>#VALUE!</v>
      </c>
      <c r="AI14" s="23" t="e">
        <f t="array" ref="AI14">_xlfn.TEXTSPLIT(AH14,"_")</f>
        <v>#VALUE!</v>
      </c>
    </row>
    <row r="15" spans="1:35" ht="60" customHeight="1">
      <c r="A15" s="78">
        <f t="shared" si="0"/>
        <v>0</v>
      </c>
      <c r="C15" s="32"/>
      <c r="E15" s="65"/>
      <c r="S15" s="51"/>
      <c r="V15" s="51"/>
      <c r="W15" s="51"/>
      <c r="AB15" s="23"/>
      <c r="AH15" s="23" t="e">
        <f t="shared" si="1"/>
        <v>#VALUE!</v>
      </c>
      <c r="AI15" s="23" t="e">
        <f t="array" ref="AI15">_xlfn.TEXTSPLIT(AH15,"_")</f>
        <v>#VALUE!</v>
      </c>
    </row>
    <row r="16" spans="1:35" ht="60" customHeight="1">
      <c r="A16" s="78">
        <f t="shared" si="0"/>
        <v>0</v>
      </c>
      <c r="C16" s="32"/>
      <c r="E16" s="65"/>
      <c r="S16" s="51"/>
      <c r="V16" s="51"/>
      <c r="W16" s="51"/>
      <c r="AB16" s="23"/>
      <c r="AH16" s="23" t="e">
        <f t="shared" si="1"/>
        <v>#VALUE!</v>
      </c>
      <c r="AI16" s="23" t="e">
        <f t="array" ref="AI16">_xlfn.TEXTSPLIT(AH16,"_")</f>
        <v>#VALUE!</v>
      </c>
    </row>
    <row r="17" spans="1:35" ht="60" customHeight="1">
      <c r="A17" s="78">
        <f t="shared" si="0"/>
        <v>0</v>
      </c>
      <c r="C17" s="32"/>
      <c r="E17" s="65"/>
      <c r="S17" s="51"/>
      <c r="V17" s="51"/>
      <c r="W17" s="51"/>
      <c r="AB17" s="23"/>
      <c r="AH17" s="23" t="e">
        <f t="shared" si="1"/>
        <v>#VALUE!</v>
      </c>
      <c r="AI17" s="23" t="e">
        <f t="array" ref="AI17">_xlfn.TEXTSPLIT(AH17,"_")</f>
        <v>#VALUE!</v>
      </c>
    </row>
    <row r="18" spans="1:35" ht="60" customHeight="1">
      <c r="A18" s="78">
        <f t="shared" si="0"/>
        <v>0</v>
      </c>
      <c r="C18" s="32"/>
      <c r="E18" s="65"/>
      <c r="S18" s="51"/>
      <c r="V18" s="51"/>
      <c r="W18" s="51"/>
      <c r="AB18" s="23"/>
      <c r="AH18" s="23" t="e">
        <f t="shared" si="1"/>
        <v>#VALUE!</v>
      </c>
      <c r="AI18" s="23" t="e">
        <f t="array" ref="AI18">_xlfn.TEXTSPLIT(AH18,"_")</f>
        <v>#VALUE!</v>
      </c>
    </row>
    <row r="19" spans="1:35" ht="60" customHeight="1">
      <c r="A19" s="78">
        <f t="shared" si="0"/>
        <v>0</v>
      </c>
      <c r="C19" s="32"/>
      <c r="E19" s="65"/>
      <c r="S19" s="51"/>
      <c r="V19" s="51"/>
      <c r="W19" s="51"/>
      <c r="AB19" s="23"/>
      <c r="AH19" s="23" t="e">
        <f t="shared" si="1"/>
        <v>#VALUE!</v>
      </c>
      <c r="AI19" s="23" t="e">
        <f t="array" ref="AI19">_xlfn.TEXTSPLIT(AH19,"_")</f>
        <v>#VALUE!</v>
      </c>
    </row>
    <row r="20" spans="1:35" ht="60" customHeight="1">
      <c r="A20" s="78">
        <f t="shared" si="0"/>
        <v>0</v>
      </c>
      <c r="C20" s="32"/>
      <c r="E20" s="65"/>
      <c r="S20" s="51"/>
      <c r="V20" s="51"/>
      <c r="W20" s="51"/>
      <c r="AB20" s="23"/>
      <c r="AH20" s="23" t="e">
        <f t="shared" si="1"/>
        <v>#VALUE!</v>
      </c>
      <c r="AI20" s="23" t="e">
        <f t="array" ref="AI20">_xlfn.TEXTSPLIT(AH20,"_")</f>
        <v>#VALUE!</v>
      </c>
    </row>
    <row r="21" spans="1:35" ht="60" customHeight="1">
      <c r="A21" s="78">
        <f t="shared" si="0"/>
        <v>0</v>
      </c>
      <c r="C21" s="32"/>
      <c r="E21" s="65"/>
      <c r="S21" s="51"/>
      <c r="V21" s="51"/>
      <c r="W21" s="51"/>
      <c r="AB21" s="23"/>
      <c r="AH21" s="23" t="e">
        <f t="shared" si="1"/>
        <v>#VALUE!</v>
      </c>
      <c r="AI21" s="23" t="e">
        <f t="array" ref="AI21">_xlfn.TEXTSPLIT(AH21,"_")</f>
        <v>#VALUE!</v>
      </c>
    </row>
    <row r="22" spans="1:35" ht="60" customHeight="1">
      <c r="A22" s="78">
        <f t="shared" si="0"/>
        <v>0</v>
      </c>
      <c r="C22" s="32"/>
      <c r="E22" s="65"/>
      <c r="S22" s="51"/>
      <c r="V22" s="51"/>
      <c r="W22" s="51"/>
      <c r="AB22" s="23"/>
      <c r="AH22" s="23" t="e">
        <f t="shared" si="1"/>
        <v>#VALUE!</v>
      </c>
      <c r="AI22" s="23" t="e">
        <f t="array" ref="AI22">_xlfn.TEXTSPLIT(AH22,"_")</f>
        <v>#VALUE!</v>
      </c>
    </row>
    <row r="23" spans="1:35" ht="60" customHeight="1">
      <c r="A23" s="78">
        <f t="shared" si="0"/>
        <v>0</v>
      </c>
      <c r="C23" s="32"/>
      <c r="E23" s="65"/>
      <c r="S23" s="51"/>
      <c r="V23" s="51"/>
      <c r="W23" s="51"/>
      <c r="AB23" s="23"/>
      <c r="AH23" s="23" t="e">
        <f t="shared" si="1"/>
        <v>#VALUE!</v>
      </c>
      <c r="AI23" s="23" t="e">
        <f t="array" ref="AI23">_xlfn.TEXTSPLIT(AH23,"_")</f>
        <v>#VALUE!</v>
      </c>
    </row>
    <row r="24" spans="1:35" ht="60" customHeight="1">
      <c r="A24" s="78">
        <f t="shared" si="0"/>
        <v>0</v>
      </c>
      <c r="C24" s="32"/>
      <c r="E24" s="65"/>
      <c r="S24" s="51"/>
      <c r="V24" s="51"/>
      <c r="W24" s="51"/>
      <c r="AB24" s="23"/>
      <c r="AH24" s="23" t="e">
        <f t="shared" si="1"/>
        <v>#VALUE!</v>
      </c>
      <c r="AI24" s="23" t="e">
        <f t="array" ref="AI24">_xlfn.TEXTSPLIT(AH24,"_")</f>
        <v>#VALUE!</v>
      </c>
    </row>
    <row r="25" spans="1:35" ht="60" customHeight="1">
      <c r="A25" s="78">
        <f t="shared" si="0"/>
        <v>0</v>
      </c>
      <c r="C25" s="32"/>
      <c r="E25" s="65"/>
      <c r="S25" s="51"/>
      <c r="V25" s="51"/>
      <c r="W25" s="51"/>
      <c r="AB25" s="23"/>
      <c r="AH25" s="23" t="e">
        <f t="shared" si="1"/>
        <v>#VALUE!</v>
      </c>
      <c r="AI25" s="23" t="e">
        <f t="array" ref="AI25">_xlfn.TEXTSPLIT(AH25,"_")</f>
        <v>#VALUE!</v>
      </c>
    </row>
    <row r="26" spans="1:35" ht="60" customHeight="1">
      <c r="A26" s="78">
        <f t="shared" si="0"/>
        <v>0</v>
      </c>
      <c r="C26" s="32"/>
      <c r="E26" s="65"/>
      <c r="S26" s="51"/>
      <c r="V26" s="51"/>
      <c r="W26" s="51"/>
      <c r="AB26" s="23"/>
      <c r="AH26" s="23" t="e">
        <f t="shared" si="1"/>
        <v>#VALUE!</v>
      </c>
      <c r="AI26" s="23" t="e">
        <f t="array" ref="AI26">_xlfn.TEXTSPLIT(AH26,"_")</f>
        <v>#VALUE!</v>
      </c>
    </row>
    <row r="27" spans="1:35" ht="60" customHeight="1">
      <c r="A27" s="78">
        <f t="shared" si="0"/>
        <v>0</v>
      </c>
      <c r="C27" s="32"/>
      <c r="E27" s="65"/>
      <c r="S27" s="51"/>
      <c r="V27" s="51"/>
      <c r="W27" s="51"/>
      <c r="AB27" s="23"/>
      <c r="AH27" s="23" t="e">
        <f t="shared" si="1"/>
        <v>#VALUE!</v>
      </c>
      <c r="AI27" s="23" t="e">
        <f t="array" ref="AI27">_xlfn.TEXTSPLIT(AH27,"_")</f>
        <v>#VALUE!</v>
      </c>
    </row>
    <row r="28" spans="1:35" ht="60" customHeight="1">
      <c r="A28" s="78">
        <f t="shared" si="0"/>
        <v>0</v>
      </c>
      <c r="C28" s="32"/>
      <c r="E28" s="65"/>
      <c r="S28" s="51"/>
      <c r="V28" s="51"/>
      <c r="W28" s="51"/>
      <c r="AB28" s="23"/>
      <c r="AH28" s="23" t="e">
        <f t="shared" si="1"/>
        <v>#VALUE!</v>
      </c>
      <c r="AI28" s="23" t="e">
        <f t="array" ref="AI28">_xlfn.TEXTSPLIT(AH28,"_")</f>
        <v>#VALUE!</v>
      </c>
    </row>
    <row r="29" spans="1:35" ht="60" customHeight="1">
      <c r="A29" s="78">
        <f t="shared" si="0"/>
        <v>0</v>
      </c>
      <c r="C29" s="32"/>
      <c r="E29" s="65"/>
      <c r="S29" s="51"/>
      <c r="V29" s="51"/>
      <c r="W29" s="51"/>
      <c r="AB29" s="23"/>
      <c r="AH29" s="23" t="e">
        <f t="shared" si="1"/>
        <v>#VALUE!</v>
      </c>
      <c r="AI29" s="23" t="e">
        <f t="array" ref="AI29">_xlfn.TEXTSPLIT(AH29,"_")</f>
        <v>#VALUE!</v>
      </c>
    </row>
    <row r="30" spans="1:35" ht="60" customHeight="1">
      <c r="A30" s="78">
        <f t="shared" si="0"/>
        <v>0</v>
      </c>
      <c r="C30" s="32"/>
      <c r="E30" s="65"/>
      <c r="S30" s="51"/>
      <c r="V30" s="51"/>
      <c r="W30" s="51"/>
      <c r="AB30" s="23"/>
      <c r="AH30" s="23" t="e">
        <f t="shared" si="1"/>
        <v>#VALUE!</v>
      </c>
      <c r="AI30" s="23" t="e">
        <f t="array" ref="AI30">_xlfn.TEXTSPLIT(AH30,"_")</f>
        <v>#VALUE!</v>
      </c>
    </row>
    <row r="31" spans="1:35" ht="60" customHeight="1">
      <c r="A31" s="78">
        <f t="shared" si="0"/>
        <v>0</v>
      </c>
      <c r="C31" s="32"/>
      <c r="E31" s="65"/>
      <c r="S31" s="51"/>
      <c r="V31" s="51"/>
      <c r="W31" s="51"/>
      <c r="AB31" s="23"/>
      <c r="AH31" s="23" t="e">
        <f t="shared" si="1"/>
        <v>#VALUE!</v>
      </c>
      <c r="AI31" s="23" t="e">
        <f t="array" ref="AI31">_xlfn.TEXTSPLIT(AH31,"_")</f>
        <v>#VALUE!</v>
      </c>
    </row>
    <row r="32" spans="1:35" ht="60" customHeight="1">
      <c r="A32" s="78">
        <f t="shared" si="0"/>
        <v>0</v>
      </c>
      <c r="C32" s="32"/>
      <c r="E32" s="65"/>
      <c r="S32" s="51"/>
      <c r="V32" s="51"/>
      <c r="W32" s="51"/>
      <c r="AB32" s="23"/>
      <c r="AH32" s="23" t="e">
        <f t="shared" si="1"/>
        <v>#VALUE!</v>
      </c>
      <c r="AI32" s="23" t="e">
        <f t="array" ref="AI32">_xlfn.TEXTSPLIT(AH32,"_")</f>
        <v>#VALUE!</v>
      </c>
    </row>
    <row r="33" spans="1:35" ht="60" customHeight="1">
      <c r="A33" s="78">
        <f t="shared" si="0"/>
        <v>0</v>
      </c>
      <c r="C33" s="32"/>
      <c r="E33" s="65"/>
      <c r="S33" s="51"/>
      <c r="V33" s="51"/>
      <c r="W33" s="51"/>
      <c r="AB33" s="23"/>
      <c r="AH33" s="23" t="e">
        <f t="shared" si="1"/>
        <v>#VALUE!</v>
      </c>
      <c r="AI33" s="23" t="e">
        <f t="array" ref="AI33">_xlfn.TEXTSPLIT(AH33,"_")</f>
        <v>#VALUE!</v>
      </c>
    </row>
    <row r="34" spans="1:35" ht="60" customHeight="1">
      <c r="A34" s="78">
        <f t="shared" si="0"/>
        <v>0</v>
      </c>
      <c r="C34" s="32"/>
      <c r="E34" s="65"/>
      <c r="S34" s="51"/>
      <c r="V34" s="51"/>
      <c r="W34" s="51"/>
      <c r="AB34" s="23"/>
      <c r="AH34" s="23" t="e">
        <f t="shared" si="1"/>
        <v>#VALUE!</v>
      </c>
      <c r="AI34" s="23" t="e">
        <f t="array" ref="AI34">_xlfn.TEXTSPLIT(AH34,"_")</f>
        <v>#VALUE!</v>
      </c>
    </row>
    <row r="35" spans="1:35" ht="60" customHeight="1">
      <c r="A35" s="78">
        <f t="shared" si="0"/>
        <v>0</v>
      </c>
      <c r="C35" s="32"/>
      <c r="E35" s="65"/>
      <c r="S35" s="51"/>
      <c r="V35" s="51"/>
      <c r="W35" s="51"/>
      <c r="AB35" s="23"/>
      <c r="AH35" s="23" t="e">
        <f t="shared" si="1"/>
        <v>#VALUE!</v>
      </c>
      <c r="AI35" s="23" t="e">
        <f t="array" ref="AI35">_xlfn.TEXTSPLIT(AH35,"_")</f>
        <v>#VALUE!</v>
      </c>
    </row>
    <row r="36" spans="1:35" ht="60" customHeight="1">
      <c r="A36" s="78">
        <f t="shared" si="0"/>
        <v>0</v>
      </c>
      <c r="C36" s="32"/>
      <c r="E36" s="65"/>
      <c r="S36" s="51"/>
      <c r="V36" s="51"/>
      <c r="W36" s="51"/>
      <c r="AB36" s="23"/>
      <c r="AH36" s="23" t="e">
        <f t="shared" si="1"/>
        <v>#VALUE!</v>
      </c>
      <c r="AI36" s="23" t="e">
        <f t="array" ref="AI36">_xlfn.TEXTSPLIT(AH36,"_")</f>
        <v>#VALUE!</v>
      </c>
    </row>
    <row r="37" spans="1:35" ht="60" customHeight="1">
      <c r="A37" s="78">
        <f t="shared" si="0"/>
        <v>0</v>
      </c>
      <c r="C37" s="32"/>
      <c r="E37" s="65"/>
      <c r="S37" s="51"/>
      <c r="V37" s="51"/>
      <c r="W37" s="51"/>
      <c r="AB37" s="23"/>
      <c r="AH37" s="23" t="e">
        <f t="shared" si="1"/>
        <v>#VALUE!</v>
      </c>
      <c r="AI37" s="23" t="e">
        <f t="array" ref="AI37">_xlfn.TEXTSPLIT(AH37,"_")</f>
        <v>#VALUE!</v>
      </c>
    </row>
    <row r="38" spans="1:35" ht="60" customHeight="1">
      <c r="A38" s="78">
        <f t="shared" si="0"/>
        <v>0</v>
      </c>
      <c r="C38" s="32"/>
      <c r="E38" s="65"/>
      <c r="S38" s="51"/>
      <c r="V38" s="51"/>
      <c r="W38" s="51"/>
      <c r="AB38" s="23"/>
      <c r="AH38" s="23" t="e">
        <f t="shared" si="1"/>
        <v>#VALUE!</v>
      </c>
      <c r="AI38" s="23" t="e">
        <f t="array" ref="AI38">_xlfn.TEXTSPLIT(AH38,"_")</f>
        <v>#VALUE!</v>
      </c>
    </row>
    <row r="39" spans="1:35" ht="60" customHeight="1">
      <c r="A39" s="78">
        <f t="shared" si="0"/>
        <v>0</v>
      </c>
      <c r="C39" s="32"/>
      <c r="E39" s="65"/>
      <c r="S39" s="51"/>
      <c r="V39" s="51"/>
      <c r="W39" s="51"/>
      <c r="AB39" s="23"/>
      <c r="AH39" s="23" t="e">
        <f t="shared" si="1"/>
        <v>#VALUE!</v>
      </c>
      <c r="AI39" s="23" t="e">
        <f t="array" ref="AI39">_xlfn.TEXTSPLIT(AH39,"_")</f>
        <v>#VALUE!</v>
      </c>
    </row>
    <row r="40" spans="1:35" ht="60" customHeight="1">
      <c r="A40" s="78">
        <f t="shared" si="0"/>
        <v>0</v>
      </c>
      <c r="C40" s="32"/>
      <c r="E40" s="65"/>
      <c r="S40" s="51"/>
      <c r="V40" s="51"/>
      <c r="W40" s="51"/>
      <c r="AB40" s="23"/>
      <c r="AH40" s="23" t="e">
        <f t="shared" si="1"/>
        <v>#VALUE!</v>
      </c>
      <c r="AI40" s="23" t="e">
        <f t="array" ref="AI40">_xlfn.TEXTSPLIT(AH40,"_")</f>
        <v>#VALUE!</v>
      </c>
    </row>
    <row r="41" spans="1:35" ht="60" customHeight="1">
      <c r="A41" s="78">
        <f t="shared" si="0"/>
        <v>0</v>
      </c>
      <c r="C41" s="32"/>
      <c r="E41" s="65"/>
      <c r="S41" s="51"/>
      <c r="V41" s="51"/>
      <c r="W41" s="51"/>
      <c r="AH41" s="23" t="e">
        <f t="shared" si="1"/>
        <v>#VALUE!</v>
      </c>
      <c r="AI41" s="23" t="e">
        <f t="array" ref="AI41">_xlfn.TEXTSPLIT(AH41,"_")</f>
        <v>#VALUE!</v>
      </c>
    </row>
    <row r="42" spans="1:35" ht="60" customHeight="1">
      <c r="A42" s="78">
        <f t="shared" si="0"/>
        <v>0</v>
      </c>
      <c r="C42" s="32"/>
      <c r="E42" s="65"/>
      <c r="S42" s="51"/>
      <c r="V42" s="51"/>
      <c r="W42" s="51"/>
      <c r="AH42" s="23" t="e">
        <f t="shared" si="1"/>
        <v>#VALUE!</v>
      </c>
      <c r="AI42" s="23" t="e">
        <f t="array" ref="AI42">_xlfn.TEXTSPLIT(AH42,"_")</f>
        <v>#VALUE!</v>
      </c>
    </row>
    <row r="43" spans="1:35" ht="60" customHeight="1">
      <c r="A43" s="78">
        <f t="shared" si="0"/>
        <v>0</v>
      </c>
      <c r="C43" s="32"/>
      <c r="E43" s="65"/>
      <c r="S43" s="51"/>
      <c r="V43" s="51"/>
      <c r="W43" s="51"/>
      <c r="AH43" s="23" t="e">
        <f t="shared" si="1"/>
        <v>#VALUE!</v>
      </c>
      <c r="AI43" s="23" t="e">
        <f t="array" ref="AI43">_xlfn.TEXTSPLIT(AH43,"_")</f>
        <v>#VALUE!</v>
      </c>
    </row>
    <row r="44" spans="1:35" ht="60" customHeight="1">
      <c r="A44" s="78">
        <f t="shared" si="0"/>
        <v>0</v>
      </c>
      <c r="C44" s="32"/>
      <c r="E44" s="65"/>
      <c r="S44" s="51"/>
      <c r="V44" s="51"/>
      <c r="W44" s="51"/>
      <c r="AH44" s="23" t="e">
        <f t="shared" si="1"/>
        <v>#VALUE!</v>
      </c>
      <c r="AI44" s="23" t="e">
        <f t="array" ref="AI44">_xlfn.TEXTSPLIT(AH44,"_")</f>
        <v>#VALUE!</v>
      </c>
    </row>
    <row r="45" spans="1:35" ht="60" customHeight="1">
      <c r="A45" s="78">
        <f t="shared" si="0"/>
        <v>0</v>
      </c>
      <c r="C45" s="32"/>
      <c r="E45" s="65"/>
      <c r="S45" s="51"/>
      <c r="V45" s="51"/>
      <c r="W45" s="51"/>
      <c r="AH45" s="23" t="e">
        <f t="shared" si="1"/>
        <v>#VALUE!</v>
      </c>
      <c r="AI45" s="23" t="e">
        <f t="array" ref="AI45">_xlfn.TEXTSPLIT(AH45,"_")</f>
        <v>#VALUE!</v>
      </c>
    </row>
    <row r="46" spans="1:35" ht="60" customHeight="1">
      <c r="A46" s="78">
        <f t="shared" si="0"/>
        <v>0</v>
      </c>
      <c r="C46" s="32"/>
      <c r="E46" s="65"/>
      <c r="S46" s="51"/>
      <c r="V46" s="51"/>
      <c r="W46" s="51"/>
      <c r="AH46" s="23" t="e">
        <f t="shared" si="1"/>
        <v>#VALUE!</v>
      </c>
      <c r="AI46" s="23" t="e">
        <f t="array" ref="AI46">_xlfn.TEXTSPLIT(AH46,"_")</f>
        <v>#VALUE!</v>
      </c>
    </row>
    <row r="47" spans="1:35" ht="60" customHeight="1">
      <c r="A47" s="78">
        <f t="shared" si="0"/>
        <v>0</v>
      </c>
      <c r="C47" s="32"/>
      <c r="E47" s="65"/>
      <c r="S47" s="51"/>
      <c r="V47" s="51"/>
      <c r="W47" s="51"/>
      <c r="AH47" s="23" t="e">
        <f t="shared" si="1"/>
        <v>#VALUE!</v>
      </c>
      <c r="AI47" s="23" t="e">
        <f t="array" ref="AI47">_xlfn.TEXTSPLIT(AH47,"_")</f>
        <v>#VALUE!</v>
      </c>
    </row>
    <row r="48" spans="1:35" ht="60" customHeight="1">
      <c r="A48" s="78">
        <f t="shared" si="0"/>
        <v>0</v>
      </c>
      <c r="C48" s="32"/>
      <c r="E48" s="65"/>
      <c r="S48" s="51"/>
      <c r="V48" s="51"/>
      <c r="W48" s="51"/>
      <c r="AH48" s="23" t="e">
        <f t="shared" si="1"/>
        <v>#VALUE!</v>
      </c>
      <c r="AI48" s="23" t="e">
        <f t="array" ref="AI48">_xlfn.TEXTSPLIT(AH48,"_")</f>
        <v>#VALUE!</v>
      </c>
    </row>
    <row r="49" spans="1:35" ht="60" customHeight="1">
      <c r="A49" s="78">
        <f t="shared" si="0"/>
        <v>0</v>
      </c>
      <c r="C49" s="32"/>
      <c r="E49" s="65"/>
      <c r="S49" s="51"/>
      <c r="V49" s="51"/>
      <c r="W49" s="51"/>
      <c r="AH49" s="23" t="e">
        <f t="shared" si="1"/>
        <v>#VALUE!</v>
      </c>
      <c r="AI49" s="23" t="e">
        <f t="array" ref="AI49">_xlfn.TEXTSPLIT(AH49,"_")</f>
        <v>#VALUE!</v>
      </c>
    </row>
    <row r="50" spans="1:35" ht="60" customHeight="1">
      <c r="A50" s="78">
        <f t="shared" si="0"/>
        <v>0</v>
      </c>
      <c r="C50" s="32"/>
      <c r="E50" s="65"/>
      <c r="S50" s="51"/>
      <c r="V50" s="51"/>
      <c r="W50" s="51"/>
      <c r="AH50" s="23" t="e">
        <f t="shared" si="1"/>
        <v>#VALUE!</v>
      </c>
      <c r="AI50" s="23" t="e">
        <f t="array" ref="AI50">_xlfn.TEXTSPLIT(AH50,"_")</f>
        <v>#VALUE!</v>
      </c>
    </row>
    <row r="51" spans="1:35" ht="60" customHeight="1">
      <c r="A51" s="78">
        <f t="shared" si="0"/>
        <v>0</v>
      </c>
      <c r="C51" s="32"/>
      <c r="E51" s="65"/>
      <c r="S51" s="51"/>
      <c r="V51" s="51"/>
      <c r="W51" s="51"/>
      <c r="AH51" s="23" t="e">
        <f t="shared" si="1"/>
        <v>#VALUE!</v>
      </c>
      <c r="AI51" s="23" t="e">
        <f t="array" ref="AI51">_xlfn.TEXTSPLIT(AH51,"_")</f>
        <v>#VALUE!</v>
      </c>
    </row>
    <row r="52" spans="1:35" ht="60" customHeight="1">
      <c r="A52" s="78">
        <f t="shared" si="0"/>
        <v>0</v>
      </c>
      <c r="C52" s="32"/>
      <c r="E52" s="65"/>
      <c r="S52" s="51"/>
      <c r="V52" s="51"/>
      <c r="W52" s="51"/>
      <c r="AH52" s="23" t="e">
        <f t="shared" si="1"/>
        <v>#VALUE!</v>
      </c>
      <c r="AI52" s="23" t="e">
        <f t="array" ref="AI52">_xlfn.TEXTSPLIT(AH52,"_")</f>
        <v>#VALUE!</v>
      </c>
    </row>
    <row r="53" spans="1:35" ht="60" customHeight="1">
      <c r="A53" s="78">
        <f t="shared" si="0"/>
        <v>0</v>
      </c>
      <c r="C53" s="32"/>
      <c r="E53" s="65"/>
      <c r="S53" s="51"/>
      <c r="V53" s="51"/>
      <c r="W53" s="51"/>
      <c r="AH53" s="23" t="e">
        <f t="shared" si="1"/>
        <v>#VALUE!</v>
      </c>
      <c r="AI53" s="23" t="e">
        <f t="array" ref="AI53">_xlfn.TEXTSPLIT(AH53,"_")</f>
        <v>#VALUE!</v>
      </c>
    </row>
    <row r="54" spans="1:35" ht="60" customHeight="1">
      <c r="A54" s="78">
        <f t="shared" si="0"/>
        <v>0</v>
      </c>
      <c r="C54" s="32"/>
      <c r="E54" s="65"/>
      <c r="S54" s="51"/>
      <c r="V54" s="51"/>
      <c r="W54" s="51"/>
      <c r="AH54" s="23" t="e">
        <f t="shared" si="1"/>
        <v>#VALUE!</v>
      </c>
      <c r="AI54" s="23" t="e">
        <f t="array" ref="AI54">_xlfn.TEXTSPLIT(AH54,"_")</f>
        <v>#VALUE!</v>
      </c>
    </row>
    <row r="55" spans="1:35" ht="60" customHeight="1">
      <c r="A55" s="78">
        <f t="shared" si="0"/>
        <v>0</v>
      </c>
      <c r="C55" s="32"/>
      <c r="E55" s="65"/>
      <c r="S55" s="51"/>
      <c r="V55" s="51"/>
      <c r="W55" s="51"/>
      <c r="AH55" s="23" t="e">
        <f t="shared" si="1"/>
        <v>#VALUE!</v>
      </c>
      <c r="AI55" s="23" t="e">
        <f t="array" ref="AI55">_xlfn.TEXTSPLIT(AH55,"_")</f>
        <v>#VALUE!</v>
      </c>
    </row>
    <row r="56" spans="1:35" ht="60" customHeight="1">
      <c r="A56" s="78">
        <f t="shared" si="0"/>
        <v>0</v>
      </c>
      <c r="C56" s="32"/>
      <c r="E56" s="65"/>
      <c r="S56" s="51"/>
      <c r="V56" s="51"/>
      <c r="W56" s="51"/>
      <c r="AH56" s="23" t="e">
        <f t="shared" si="1"/>
        <v>#VALUE!</v>
      </c>
      <c r="AI56" s="23" t="e">
        <f t="array" ref="AI56">_xlfn.TEXTSPLIT(AH56,"_")</f>
        <v>#VALUE!</v>
      </c>
    </row>
    <row r="57" spans="1:35" ht="60" customHeight="1">
      <c r="A57" s="78">
        <f t="shared" si="0"/>
        <v>0</v>
      </c>
      <c r="C57" s="32"/>
      <c r="E57" s="65"/>
      <c r="S57" s="51"/>
      <c r="V57" s="51"/>
      <c r="W57" s="51"/>
      <c r="AH57" s="23" t="e">
        <f t="shared" si="1"/>
        <v>#VALUE!</v>
      </c>
      <c r="AI57" s="23" t="e">
        <f t="array" ref="AI57">_xlfn.TEXTSPLIT(AH57,"_")</f>
        <v>#VALUE!</v>
      </c>
    </row>
    <row r="58" spans="1:35" ht="60" customHeight="1">
      <c r="A58" s="78">
        <f t="shared" si="0"/>
        <v>0</v>
      </c>
      <c r="C58" s="32"/>
      <c r="E58" s="65"/>
      <c r="S58" s="51"/>
      <c r="V58" s="51"/>
      <c r="W58" s="51"/>
      <c r="AH58" s="23" t="e">
        <f t="shared" si="1"/>
        <v>#VALUE!</v>
      </c>
      <c r="AI58" s="23" t="e">
        <f t="array" ref="AI58">_xlfn.TEXTSPLIT(AH58,"_")</f>
        <v>#VALUE!</v>
      </c>
    </row>
    <row r="59" spans="1:35" ht="60" customHeight="1">
      <c r="A59" s="78">
        <f t="shared" si="0"/>
        <v>0</v>
      </c>
      <c r="C59" s="32"/>
      <c r="E59" s="65"/>
      <c r="S59" s="51"/>
      <c r="V59" s="51"/>
      <c r="W59" s="51"/>
      <c r="AH59" s="23" t="e">
        <f t="shared" si="1"/>
        <v>#VALUE!</v>
      </c>
      <c r="AI59" s="23" t="e">
        <f t="array" ref="AI59">_xlfn.TEXTSPLIT(AH59,"_")</f>
        <v>#VALUE!</v>
      </c>
    </row>
    <row r="60" spans="1:35" ht="60" customHeight="1">
      <c r="A60" s="78">
        <f t="shared" si="0"/>
        <v>0</v>
      </c>
      <c r="C60" s="32"/>
      <c r="E60" s="65"/>
      <c r="S60" s="51"/>
      <c r="V60" s="51"/>
      <c r="W60" s="51"/>
      <c r="AH60" s="23" t="e">
        <f t="shared" si="1"/>
        <v>#VALUE!</v>
      </c>
      <c r="AI60" s="23" t="e">
        <f t="array" ref="AI60">_xlfn.TEXTSPLIT(AH60,"_")</f>
        <v>#VALUE!</v>
      </c>
    </row>
    <row r="61" spans="1:35" ht="60" customHeight="1">
      <c r="A61" s="78">
        <f t="shared" si="0"/>
        <v>0</v>
      </c>
      <c r="C61" s="32"/>
      <c r="E61" s="65"/>
      <c r="S61" s="51"/>
      <c r="V61" s="51"/>
      <c r="W61" s="51"/>
      <c r="AH61" s="23" t="e">
        <f t="shared" si="1"/>
        <v>#VALUE!</v>
      </c>
      <c r="AI61" s="23" t="e">
        <f t="array" ref="AI61">_xlfn.TEXTSPLIT(AH61,"_")</f>
        <v>#VALUE!</v>
      </c>
    </row>
    <row r="62" spans="1:35" ht="60" customHeight="1">
      <c r="A62" s="78">
        <f t="shared" si="0"/>
        <v>0</v>
      </c>
      <c r="C62" s="32"/>
      <c r="E62" s="65"/>
      <c r="S62" s="51"/>
      <c r="V62" s="51"/>
      <c r="W62" s="51"/>
      <c r="AH62" s="23" t="e">
        <f t="shared" si="1"/>
        <v>#VALUE!</v>
      </c>
      <c r="AI62" s="23" t="e">
        <f t="array" ref="AI62">_xlfn.TEXTSPLIT(AH62,"_")</f>
        <v>#VALUE!</v>
      </c>
    </row>
    <row r="63" spans="1:35" ht="60" customHeight="1">
      <c r="A63" s="78">
        <f t="shared" si="0"/>
        <v>0</v>
      </c>
      <c r="C63" s="32"/>
      <c r="E63" s="65"/>
      <c r="S63" s="51"/>
      <c r="V63" s="51"/>
      <c r="W63" s="51"/>
      <c r="AH63" s="23" t="e">
        <f t="shared" si="1"/>
        <v>#VALUE!</v>
      </c>
      <c r="AI63" s="23" t="e">
        <f t="array" ref="AI63">_xlfn.TEXTSPLIT(AH63,"_")</f>
        <v>#VALUE!</v>
      </c>
    </row>
    <row r="64" spans="1:35" ht="60" customHeight="1">
      <c r="A64" s="78">
        <f t="shared" si="0"/>
        <v>0</v>
      </c>
      <c r="C64" s="32"/>
      <c r="E64" s="65"/>
      <c r="S64" s="51"/>
      <c r="V64" s="51"/>
      <c r="W64" s="51"/>
      <c r="AH64" s="23" t="e">
        <f t="shared" si="1"/>
        <v>#VALUE!</v>
      </c>
      <c r="AI64" s="23" t="e">
        <f t="array" ref="AI64">_xlfn.TEXTSPLIT(AH64,"_")</f>
        <v>#VALUE!</v>
      </c>
    </row>
    <row r="65" spans="1:35" ht="60" customHeight="1">
      <c r="A65" s="78">
        <f t="shared" si="0"/>
        <v>0</v>
      </c>
      <c r="C65" s="32"/>
      <c r="E65" s="65"/>
      <c r="S65" s="51"/>
      <c r="V65" s="51"/>
      <c r="W65" s="51"/>
      <c r="AH65" s="23" t="e">
        <f t="shared" si="1"/>
        <v>#VALUE!</v>
      </c>
      <c r="AI65" s="23" t="e">
        <f t="array" ref="AI65">_xlfn.TEXTSPLIT(AH65,"_")</f>
        <v>#VALUE!</v>
      </c>
    </row>
    <row r="66" spans="1:35" ht="60" customHeight="1">
      <c r="A66" s="78">
        <f t="shared" si="0"/>
        <v>0</v>
      </c>
      <c r="C66" s="32"/>
      <c r="E66" s="65"/>
      <c r="S66" s="51"/>
      <c r="V66" s="51"/>
      <c r="W66" s="51"/>
      <c r="AH66" s="23" t="e">
        <f t="shared" si="1"/>
        <v>#VALUE!</v>
      </c>
      <c r="AI66" s="23" t="e">
        <f t="array" ref="AI66">_xlfn.TEXTSPLIT(AH66,"_")</f>
        <v>#VALUE!</v>
      </c>
    </row>
    <row r="67" spans="1:35" ht="60" customHeight="1">
      <c r="A67" s="78">
        <f t="shared" si="0"/>
        <v>0</v>
      </c>
      <c r="C67" s="32"/>
      <c r="E67" s="65"/>
      <c r="S67" s="51"/>
      <c r="V67" s="51"/>
      <c r="W67" s="51"/>
      <c r="AH67" s="23" t="e">
        <f t="shared" si="1"/>
        <v>#VALUE!</v>
      </c>
      <c r="AI67" s="23" t="e">
        <f t="array" ref="AI67">_xlfn.TEXTSPLIT(AH67,"_")</f>
        <v>#VALUE!</v>
      </c>
    </row>
    <row r="68" spans="1:35" ht="60" customHeight="1">
      <c r="A68" s="78">
        <f t="shared" si="0"/>
        <v>0</v>
      </c>
      <c r="C68" s="32"/>
      <c r="E68" s="65"/>
      <c r="S68" s="51"/>
      <c r="V68" s="51"/>
      <c r="W68" s="51"/>
      <c r="AH68" s="23" t="e">
        <f t="shared" si="1"/>
        <v>#VALUE!</v>
      </c>
      <c r="AI68" s="23" t="e">
        <f t="array" ref="AI68">_xlfn.TEXTSPLIT(AH68,"_")</f>
        <v>#VALUE!</v>
      </c>
    </row>
    <row r="69" spans="1:35" ht="60" customHeight="1">
      <c r="A69" s="78">
        <f t="shared" si="0"/>
        <v>0</v>
      </c>
      <c r="C69" s="32"/>
      <c r="E69" s="65"/>
      <c r="S69" s="51"/>
      <c r="V69" s="51"/>
      <c r="W69" s="51"/>
      <c r="AH69" s="23" t="e">
        <f t="shared" si="1"/>
        <v>#VALUE!</v>
      </c>
      <c r="AI69" s="23" t="e">
        <f t="array" ref="AI69">_xlfn.TEXTSPLIT(AH69,"_")</f>
        <v>#VALUE!</v>
      </c>
    </row>
    <row r="70" spans="1:35" ht="60" customHeight="1">
      <c r="A70" s="78">
        <f t="shared" si="0"/>
        <v>0</v>
      </c>
      <c r="C70" s="32"/>
      <c r="E70" s="65"/>
      <c r="S70" s="51"/>
      <c r="V70" s="51"/>
      <c r="W70" s="51"/>
      <c r="AH70" s="23" t="e">
        <f t="shared" si="1"/>
        <v>#VALUE!</v>
      </c>
      <c r="AI70" s="23" t="e">
        <f t="array" ref="AI70">_xlfn.TEXTSPLIT(AH70,"_")</f>
        <v>#VALUE!</v>
      </c>
    </row>
    <row r="71" spans="1:35" ht="60" customHeight="1">
      <c r="A71" s="78">
        <f t="shared" si="0"/>
        <v>0</v>
      </c>
      <c r="C71" s="32"/>
      <c r="E71" s="65"/>
      <c r="S71" s="51"/>
      <c r="V71" s="51"/>
      <c r="W71" s="51"/>
      <c r="AH71" s="23" t="e">
        <f t="shared" si="1"/>
        <v>#VALUE!</v>
      </c>
      <c r="AI71" s="23" t="e">
        <f t="array" ref="AI71">_xlfn.TEXTSPLIT(AH71,"_")</f>
        <v>#VALUE!</v>
      </c>
    </row>
    <row r="72" spans="1:35" ht="60" customHeight="1">
      <c r="A72" s="78">
        <f t="shared" si="0"/>
        <v>0</v>
      </c>
      <c r="C72" s="32"/>
      <c r="E72" s="65"/>
      <c r="S72" s="51"/>
      <c r="V72" s="51"/>
      <c r="W72" s="51"/>
      <c r="AH72" s="23" t="e">
        <f t="shared" si="1"/>
        <v>#VALUE!</v>
      </c>
      <c r="AI72" s="23" t="e">
        <f t="array" ref="AI72">_xlfn.TEXTSPLIT(AH72,"_")</f>
        <v>#VALUE!</v>
      </c>
    </row>
    <row r="73" spans="1:35" ht="60" customHeight="1">
      <c r="A73" s="78">
        <f t="shared" si="0"/>
        <v>0</v>
      </c>
      <c r="C73" s="32"/>
      <c r="E73" s="65"/>
      <c r="S73" s="51"/>
      <c r="V73" s="51"/>
      <c r="W73" s="51"/>
      <c r="AH73" s="23" t="e">
        <f t="shared" si="1"/>
        <v>#VALUE!</v>
      </c>
      <c r="AI73" s="23" t="e">
        <f t="array" ref="AI73">_xlfn.TEXTSPLIT(AH73,"_")</f>
        <v>#VALUE!</v>
      </c>
    </row>
    <row r="74" spans="1:35" ht="60" customHeight="1">
      <c r="A74" s="78">
        <f t="shared" si="0"/>
        <v>0</v>
      </c>
      <c r="C74" s="32"/>
      <c r="E74" s="65"/>
      <c r="S74" s="51"/>
      <c r="V74" s="51"/>
      <c r="W74" s="51"/>
      <c r="AH74" s="23" t="e">
        <f t="shared" si="1"/>
        <v>#VALUE!</v>
      </c>
      <c r="AI74" s="23" t="e">
        <f t="array" ref="AI74">_xlfn.TEXTSPLIT(AH74,"_")</f>
        <v>#VALUE!</v>
      </c>
    </row>
    <row r="75" spans="1:35" ht="60" customHeight="1">
      <c r="A75" s="78">
        <f t="shared" ref="A75:A138" si="2">D75</f>
        <v>0</v>
      </c>
      <c r="C75" s="32"/>
      <c r="E75" s="65"/>
      <c r="S75" s="51"/>
      <c r="V75" s="51"/>
      <c r="W75" s="51"/>
      <c r="AH75" s="23" t="e">
        <f t="shared" ref="AH75:AH138" si="3">RIGHT(R75,LEN(R75)-FIND($Q$5,R75)+1)</f>
        <v>#VALUE!</v>
      </c>
      <c r="AI75" s="23" t="e">
        <f t="array" ref="AI75">_xlfn.TEXTSPLIT(AH75,"_")</f>
        <v>#VALUE!</v>
      </c>
    </row>
    <row r="76" spans="1:35" ht="60" customHeight="1">
      <c r="A76" s="78">
        <f t="shared" si="2"/>
        <v>0</v>
      </c>
      <c r="C76" s="32"/>
      <c r="E76" s="65"/>
      <c r="S76" s="51"/>
      <c r="V76" s="51"/>
      <c r="W76" s="51"/>
      <c r="AH76" s="23" t="e">
        <f t="shared" si="3"/>
        <v>#VALUE!</v>
      </c>
      <c r="AI76" s="23" t="e">
        <f t="array" ref="AI76">_xlfn.TEXTSPLIT(AH76,"_")</f>
        <v>#VALUE!</v>
      </c>
    </row>
    <row r="77" spans="1:35" ht="60" customHeight="1">
      <c r="A77" s="78">
        <f t="shared" si="2"/>
        <v>0</v>
      </c>
      <c r="C77" s="32"/>
      <c r="E77" s="65"/>
      <c r="S77" s="51"/>
      <c r="V77" s="51"/>
      <c r="W77" s="51"/>
      <c r="AH77" s="23" t="e">
        <f t="shared" si="3"/>
        <v>#VALUE!</v>
      </c>
      <c r="AI77" s="23" t="e">
        <f t="array" ref="AI77">_xlfn.TEXTSPLIT(AH77,"_")</f>
        <v>#VALUE!</v>
      </c>
    </row>
    <row r="78" spans="1:35" ht="60" customHeight="1">
      <c r="A78" s="78">
        <f t="shared" si="2"/>
        <v>0</v>
      </c>
      <c r="C78" s="32"/>
      <c r="E78" s="65"/>
      <c r="S78" s="51"/>
      <c r="V78" s="51"/>
      <c r="W78" s="51"/>
      <c r="AH78" s="23" t="e">
        <f t="shared" si="3"/>
        <v>#VALUE!</v>
      </c>
      <c r="AI78" s="23" t="e">
        <f t="array" ref="AI78">_xlfn.TEXTSPLIT(AH78,"_")</f>
        <v>#VALUE!</v>
      </c>
    </row>
    <row r="79" spans="1:35" ht="60" customHeight="1">
      <c r="A79" s="78">
        <f t="shared" si="2"/>
        <v>0</v>
      </c>
      <c r="C79" s="32"/>
      <c r="E79" s="65"/>
      <c r="S79" s="51"/>
      <c r="V79" s="51"/>
      <c r="W79" s="51"/>
      <c r="AH79" s="23" t="e">
        <f t="shared" si="3"/>
        <v>#VALUE!</v>
      </c>
      <c r="AI79" s="23" t="e">
        <f t="array" ref="AI79">_xlfn.TEXTSPLIT(AH79,"_")</f>
        <v>#VALUE!</v>
      </c>
    </row>
    <row r="80" spans="1:35" ht="60" customHeight="1">
      <c r="A80" s="78">
        <f t="shared" si="2"/>
        <v>0</v>
      </c>
      <c r="C80" s="32"/>
      <c r="E80" s="65"/>
      <c r="S80" s="51"/>
      <c r="V80" s="51"/>
      <c r="W80" s="51"/>
      <c r="AH80" s="23" t="e">
        <f t="shared" si="3"/>
        <v>#VALUE!</v>
      </c>
      <c r="AI80" s="23" t="e">
        <f t="array" ref="AI80">_xlfn.TEXTSPLIT(AH80,"_")</f>
        <v>#VALUE!</v>
      </c>
    </row>
    <row r="81" spans="1:35" ht="60" customHeight="1">
      <c r="A81" s="78">
        <f t="shared" si="2"/>
        <v>0</v>
      </c>
      <c r="C81" s="32"/>
      <c r="E81" s="65"/>
      <c r="S81" s="51"/>
      <c r="V81" s="51"/>
      <c r="W81" s="51"/>
      <c r="AH81" s="23" t="e">
        <f t="shared" si="3"/>
        <v>#VALUE!</v>
      </c>
      <c r="AI81" s="23" t="e">
        <f t="array" ref="AI81">_xlfn.TEXTSPLIT(AH81,"_")</f>
        <v>#VALUE!</v>
      </c>
    </row>
    <row r="82" spans="1:35" ht="60" customHeight="1">
      <c r="A82" s="78">
        <f t="shared" si="2"/>
        <v>0</v>
      </c>
      <c r="C82" s="32"/>
      <c r="E82" s="65"/>
      <c r="S82" s="51"/>
      <c r="V82" s="51"/>
      <c r="W82" s="51"/>
      <c r="AH82" s="23" t="e">
        <f t="shared" si="3"/>
        <v>#VALUE!</v>
      </c>
      <c r="AI82" s="23" t="e">
        <f t="array" ref="AI82">_xlfn.TEXTSPLIT(AH82,"_")</f>
        <v>#VALUE!</v>
      </c>
    </row>
    <row r="83" spans="1:35" ht="60" customHeight="1">
      <c r="A83" s="78">
        <f t="shared" si="2"/>
        <v>0</v>
      </c>
      <c r="C83" s="32"/>
      <c r="E83" s="65"/>
      <c r="S83" s="51"/>
      <c r="V83" s="51"/>
      <c r="W83" s="51"/>
      <c r="AH83" s="23" t="e">
        <f t="shared" si="3"/>
        <v>#VALUE!</v>
      </c>
      <c r="AI83" s="23" t="e">
        <f t="array" ref="AI83">_xlfn.TEXTSPLIT(AH83,"_")</f>
        <v>#VALUE!</v>
      </c>
    </row>
    <row r="84" spans="1:35" ht="60" customHeight="1">
      <c r="A84" s="78">
        <f t="shared" si="2"/>
        <v>0</v>
      </c>
      <c r="C84" s="32"/>
      <c r="E84" s="65"/>
      <c r="S84" s="51"/>
      <c r="V84" s="51"/>
      <c r="W84" s="51"/>
      <c r="AH84" s="23" t="e">
        <f t="shared" si="3"/>
        <v>#VALUE!</v>
      </c>
      <c r="AI84" s="23" t="e">
        <f t="array" ref="AI84">_xlfn.TEXTSPLIT(AH84,"_")</f>
        <v>#VALUE!</v>
      </c>
    </row>
    <row r="85" spans="1:35" ht="60" customHeight="1">
      <c r="A85" s="78">
        <f t="shared" si="2"/>
        <v>0</v>
      </c>
      <c r="C85" s="32"/>
      <c r="E85" s="65"/>
      <c r="S85" s="51"/>
      <c r="V85" s="51"/>
      <c r="W85" s="51"/>
      <c r="AH85" s="23" t="e">
        <f t="shared" si="3"/>
        <v>#VALUE!</v>
      </c>
      <c r="AI85" s="23" t="e">
        <f t="array" ref="AI85">_xlfn.TEXTSPLIT(AH85,"_")</f>
        <v>#VALUE!</v>
      </c>
    </row>
    <row r="86" spans="1:35" ht="60" customHeight="1">
      <c r="A86" s="78">
        <f t="shared" si="2"/>
        <v>0</v>
      </c>
      <c r="C86" s="32"/>
      <c r="E86" s="65"/>
      <c r="S86" s="51"/>
      <c r="V86" s="51"/>
      <c r="W86" s="51"/>
      <c r="AH86" s="23" t="e">
        <f t="shared" si="3"/>
        <v>#VALUE!</v>
      </c>
      <c r="AI86" s="23" t="e">
        <f t="array" ref="AI86">_xlfn.TEXTSPLIT(AH86,"_")</f>
        <v>#VALUE!</v>
      </c>
    </row>
    <row r="87" spans="1:35" ht="60" customHeight="1">
      <c r="A87" s="78">
        <f t="shared" si="2"/>
        <v>0</v>
      </c>
      <c r="C87" s="32"/>
      <c r="E87" s="65"/>
      <c r="S87" s="51"/>
      <c r="V87" s="51"/>
      <c r="W87" s="51"/>
      <c r="AH87" s="23" t="e">
        <f t="shared" si="3"/>
        <v>#VALUE!</v>
      </c>
      <c r="AI87" s="23" t="e">
        <f t="array" ref="AI87">_xlfn.TEXTSPLIT(AH87,"_")</f>
        <v>#VALUE!</v>
      </c>
    </row>
    <row r="88" spans="1:35" ht="60" customHeight="1">
      <c r="A88" s="78">
        <f t="shared" si="2"/>
        <v>0</v>
      </c>
      <c r="C88" s="32"/>
      <c r="E88" s="65"/>
      <c r="S88" s="51"/>
      <c r="V88" s="51"/>
      <c r="W88" s="51"/>
      <c r="AH88" s="23" t="e">
        <f t="shared" si="3"/>
        <v>#VALUE!</v>
      </c>
      <c r="AI88" s="23" t="e">
        <f t="array" ref="AI88">_xlfn.TEXTSPLIT(AH88,"_")</f>
        <v>#VALUE!</v>
      </c>
    </row>
    <row r="89" spans="1:35" ht="60" customHeight="1">
      <c r="A89" s="78">
        <f t="shared" si="2"/>
        <v>0</v>
      </c>
      <c r="C89" s="32"/>
      <c r="E89" s="65"/>
      <c r="S89" s="51"/>
      <c r="V89" s="51"/>
      <c r="W89" s="51"/>
      <c r="AH89" s="23" t="e">
        <f t="shared" si="3"/>
        <v>#VALUE!</v>
      </c>
      <c r="AI89" s="23" t="e">
        <f t="array" ref="AI89">_xlfn.TEXTSPLIT(AH89,"_")</f>
        <v>#VALUE!</v>
      </c>
    </row>
    <row r="90" spans="1:35" ht="60" customHeight="1">
      <c r="A90" s="78">
        <f t="shared" si="2"/>
        <v>0</v>
      </c>
      <c r="C90" s="32"/>
      <c r="E90" s="65"/>
      <c r="S90" s="51"/>
      <c r="V90" s="51"/>
      <c r="W90" s="51"/>
      <c r="AH90" s="23" t="e">
        <f t="shared" si="3"/>
        <v>#VALUE!</v>
      </c>
      <c r="AI90" s="23" t="e">
        <f t="array" ref="AI90">_xlfn.TEXTSPLIT(AH90,"_")</f>
        <v>#VALUE!</v>
      </c>
    </row>
    <row r="91" spans="1:35" ht="60" customHeight="1">
      <c r="A91" s="78">
        <f t="shared" si="2"/>
        <v>0</v>
      </c>
      <c r="C91" s="32"/>
      <c r="E91" s="65"/>
      <c r="S91" s="51"/>
      <c r="V91" s="51"/>
      <c r="W91" s="51"/>
      <c r="AH91" s="23" t="e">
        <f t="shared" si="3"/>
        <v>#VALUE!</v>
      </c>
      <c r="AI91" s="23" t="e">
        <f t="array" ref="AI91">_xlfn.TEXTSPLIT(AH91,"_")</f>
        <v>#VALUE!</v>
      </c>
    </row>
    <row r="92" spans="1:35" ht="60" customHeight="1">
      <c r="A92" s="78">
        <f t="shared" si="2"/>
        <v>0</v>
      </c>
      <c r="C92" s="32"/>
      <c r="E92" s="65"/>
      <c r="S92" s="51"/>
      <c r="V92" s="51"/>
      <c r="W92" s="51"/>
      <c r="AH92" s="23" t="e">
        <f t="shared" si="3"/>
        <v>#VALUE!</v>
      </c>
      <c r="AI92" s="23" t="e">
        <f t="array" ref="AI92">_xlfn.TEXTSPLIT(AH92,"_")</f>
        <v>#VALUE!</v>
      </c>
    </row>
    <row r="93" spans="1:35" ht="60" customHeight="1">
      <c r="A93" s="78">
        <f t="shared" si="2"/>
        <v>0</v>
      </c>
      <c r="C93" s="32"/>
      <c r="E93" s="65"/>
      <c r="S93" s="51"/>
      <c r="V93" s="51"/>
      <c r="W93" s="51"/>
      <c r="AH93" s="23" t="e">
        <f t="shared" si="3"/>
        <v>#VALUE!</v>
      </c>
      <c r="AI93" s="23" t="e">
        <f t="array" ref="AI93">_xlfn.TEXTSPLIT(AH93,"_")</f>
        <v>#VALUE!</v>
      </c>
    </row>
    <row r="94" spans="1:35" ht="60" customHeight="1">
      <c r="A94" s="78">
        <f t="shared" si="2"/>
        <v>0</v>
      </c>
      <c r="C94" s="32"/>
      <c r="E94" s="65"/>
      <c r="S94" s="51"/>
      <c r="V94" s="51"/>
      <c r="W94" s="51"/>
      <c r="AH94" s="23" t="e">
        <f t="shared" si="3"/>
        <v>#VALUE!</v>
      </c>
      <c r="AI94" s="23" t="e">
        <f t="array" ref="AI94">_xlfn.TEXTSPLIT(AH94,"_")</f>
        <v>#VALUE!</v>
      </c>
    </row>
    <row r="95" spans="1:35" ht="60" customHeight="1">
      <c r="A95" s="78">
        <f t="shared" si="2"/>
        <v>0</v>
      </c>
      <c r="C95" s="32"/>
      <c r="E95" s="65"/>
      <c r="S95" s="51"/>
      <c r="V95" s="51"/>
      <c r="W95" s="51"/>
      <c r="AH95" s="23" t="e">
        <f t="shared" si="3"/>
        <v>#VALUE!</v>
      </c>
      <c r="AI95" s="23" t="e">
        <f t="array" ref="AI95">_xlfn.TEXTSPLIT(AH95,"_")</f>
        <v>#VALUE!</v>
      </c>
    </row>
    <row r="96" spans="1:35" ht="60" customHeight="1">
      <c r="A96" s="78">
        <f t="shared" si="2"/>
        <v>0</v>
      </c>
      <c r="C96" s="32"/>
      <c r="E96" s="65"/>
      <c r="S96" s="51"/>
      <c r="V96" s="51"/>
      <c r="W96" s="51"/>
      <c r="AH96" s="23" t="e">
        <f t="shared" si="3"/>
        <v>#VALUE!</v>
      </c>
      <c r="AI96" s="23" t="e">
        <f t="array" ref="AI96">_xlfn.TEXTSPLIT(AH96,"_")</f>
        <v>#VALUE!</v>
      </c>
    </row>
    <row r="97" spans="1:35" ht="60" customHeight="1">
      <c r="A97" s="78">
        <f t="shared" si="2"/>
        <v>0</v>
      </c>
      <c r="C97" s="32"/>
      <c r="E97" s="65"/>
      <c r="S97" s="51"/>
      <c r="V97" s="51"/>
      <c r="W97" s="51"/>
      <c r="AH97" s="23" t="e">
        <f t="shared" si="3"/>
        <v>#VALUE!</v>
      </c>
      <c r="AI97" s="23" t="e">
        <f t="array" ref="AI97">_xlfn.TEXTSPLIT(AH97,"_")</f>
        <v>#VALUE!</v>
      </c>
    </row>
    <row r="98" spans="1:35" ht="60" customHeight="1">
      <c r="A98" s="78">
        <f t="shared" si="2"/>
        <v>0</v>
      </c>
      <c r="C98" s="32"/>
      <c r="E98" s="65"/>
      <c r="S98" s="51"/>
      <c r="V98" s="51"/>
      <c r="W98" s="51"/>
      <c r="AH98" s="23" t="e">
        <f t="shared" si="3"/>
        <v>#VALUE!</v>
      </c>
      <c r="AI98" s="23" t="e">
        <f t="array" ref="AI98">_xlfn.TEXTSPLIT(AH98,"_")</f>
        <v>#VALUE!</v>
      </c>
    </row>
    <row r="99" spans="1:35" ht="60" customHeight="1">
      <c r="A99" s="78">
        <f t="shared" si="2"/>
        <v>0</v>
      </c>
      <c r="C99" s="32"/>
      <c r="E99" s="65"/>
      <c r="S99" s="51"/>
      <c r="V99" s="51"/>
      <c r="W99" s="51"/>
      <c r="AH99" s="23" t="e">
        <f t="shared" si="3"/>
        <v>#VALUE!</v>
      </c>
      <c r="AI99" s="23" t="e">
        <f t="array" ref="AI99">_xlfn.TEXTSPLIT(AH99,"_")</f>
        <v>#VALUE!</v>
      </c>
    </row>
    <row r="100" spans="1:35" ht="60" customHeight="1">
      <c r="A100" s="78">
        <f t="shared" si="2"/>
        <v>0</v>
      </c>
      <c r="C100" s="32"/>
      <c r="E100" s="65"/>
      <c r="S100" s="51"/>
      <c r="V100" s="51"/>
      <c r="W100" s="51"/>
      <c r="AH100" s="23" t="e">
        <f t="shared" si="3"/>
        <v>#VALUE!</v>
      </c>
      <c r="AI100" s="23" t="e">
        <f t="array" ref="AI100">_xlfn.TEXTSPLIT(AH100,"_")</f>
        <v>#VALUE!</v>
      </c>
    </row>
    <row r="101" spans="1:35" ht="60" customHeight="1">
      <c r="A101" s="78">
        <f t="shared" si="2"/>
        <v>0</v>
      </c>
      <c r="C101" s="32"/>
      <c r="E101" s="65"/>
      <c r="S101" s="51"/>
      <c r="V101" s="51"/>
      <c r="W101" s="51"/>
      <c r="AH101" s="23" t="e">
        <f t="shared" si="3"/>
        <v>#VALUE!</v>
      </c>
      <c r="AI101" s="23" t="e">
        <f t="array" ref="AI101">_xlfn.TEXTSPLIT(AH101,"_")</f>
        <v>#VALUE!</v>
      </c>
    </row>
    <row r="102" spans="1:35" ht="60" customHeight="1">
      <c r="A102" s="78">
        <f t="shared" si="2"/>
        <v>0</v>
      </c>
      <c r="C102" s="32"/>
      <c r="E102" s="65"/>
      <c r="S102" s="51"/>
      <c r="V102" s="51"/>
      <c r="W102" s="51"/>
      <c r="AH102" s="23" t="e">
        <f t="shared" si="3"/>
        <v>#VALUE!</v>
      </c>
      <c r="AI102" s="23" t="e">
        <f t="array" ref="AI102">_xlfn.TEXTSPLIT(AH102,"_")</f>
        <v>#VALUE!</v>
      </c>
    </row>
    <row r="103" spans="1:35" ht="60" customHeight="1">
      <c r="A103" s="78">
        <f t="shared" si="2"/>
        <v>0</v>
      </c>
      <c r="C103" s="32"/>
      <c r="E103" s="65"/>
      <c r="S103" s="51"/>
      <c r="V103" s="51"/>
      <c r="W103" s="51"/>
      <c r="AH103" s="23" t="e">
        <f t="shared" si="3"/>
        <v>#VALUE!</v>
      </c>
      <c r="AI103" s="23" t="e">
        <f t="array" ref="AI103">_xlfn.TEXTSPLIT(AH103,"_")</f>
        <v>#VALUE!</v>
      </c>
    </row>
    <row r="104" spans="1:35" ht="60" customHeight="1">
      <c r="A104" s="78">
        <f t="shared" si="2"/>
        <v>0</v>
      </c>
      <c r="C104" s="32"/>
      <c r="E104" s="65"/>
      <c r="S104" s="51"/>
      <c r="V104" s="51"/>
      <c r="W104" s="51"/>
      <c r="AH104" s="23" t="e">
        <f t="shared" si="3"/>
        <v>#VALUE!</v>
      </c>
      <c r="AI104" s="23" t="e">
        <f t="array" ref="AI104">_xlfn.TEXTSPLIT(AH104,"_")</f>
        <v>#VALUE!</v>
      </c>
    </row>
    <row r="105" spans="1:35" ht="60" customHeight="1">
      <c r="A105" s="78">
        <f t="shared" si="2"/>
        <v>0</v>
      </c>
      <c r="C105" s="32"/>
      <c r="E105" s="65"/>
      <c r="S105" s="51"/>
      <c r="V105" s="51"/>
      <c r="W105" s="51"/>
      <c r="AH105" s="23" t="e">
        <f t="shared" si="3"/>
        <v>#VALUE!</v>
      </c>
      <c r="AI105" s="23" t="e">
        <f t="array" ref="AI105">_xlfn.TEXTSPLIT(AH105,"_")</f>
        <v>#VALUE!</v>
      </c>
    </row>
    <row r="106" spans="1:35" ht="60" customHeight="1">
      <c r="A106" s="78">
        <f t="shared" si="2"/>
        <v>0</v>
      </c>
      <c r="C106" s="32"/>
      <c r="E106" s="65"/>
      <c r="S106" s="51"/>
      <c r="V106" s="51"/>
      <c r="W106" s="51"/>
      <c r="AH106" s="23" t="e">
        <f t="shared" si="3"/>
        <v>#VALUE!</v>
      </c>
      <c r="AI106" s="23" t="e">
        <f t="array" ref="AI106">_xlfn.TEXTSPLIT(AH106,"_")</f>
        <v>#VALUE!</v>
      </c>
    </row>
    <row r="107" spans="1:35" ht="60" customHeight="1">
      <c r="A107" s="78">
        <f t="shared" si="2"/>
        <v>0</v>
      </c>
      <c r="C107" s="32"/>
      <c r="E107" s="65"/>
      <c r="S107" s="51"/>
      <c r="V107" s="51"/>
      <c r="W107" s="51"/>
      <c r="AH107" s="23" t="e">
        <f t="shared" si="3"/>
        <v>#VALUE!</v>
      </c>
      <c r="AI107" s="23" t="e">
        <f t="array" ref="AI107">_xlfn.TEXTSPLIT(AH107,"_")</f>
        <v>#VALUE!</v>
      </c>
    </row>
    <row r="108" spans="1:35" ht="60" customHeight="1">
      <c r="A108" s="78">
        <f t="shared" si="2"/>
        <v>0</v>
      </c>
      <c r="C108" s="32"/>
      <c r="E108" s="65"/>
      <c r="S108" s="51"/>
      <c r="V108" s="51"/>
      <c r="W108" s="51"/>
      <c r="AH108" s="23" t="e">
        <f t="shared" si="3"/>
        <v>#VALUE!</v>
      </c>
      <c r="AI108" s="23" t="e">
        <f t="array" ref="AI108">_xlfn.TEXTSPLIT(AH108,"_")</f>
        <v>#VALUE!</v>
      </c>
    </row>
    <row r="109" spans="1:35" ht="60" customHeight="1">
      <c r="A109" s="78">
        <f t="shared" si="2"/>
        <v>0</v>
      </c>
      <c r="C109" s="32"/>
      <c r="E109" s="65"/>
      <c r="S109" s="51"/>
      <c r="V109" s="51"/>
      <c r="W109" s="51"/>
      <c r="AH109" s="23" t="e">
        <f t="shared" si="3"/>
        <v>#VALUE!</v>
      </c>
      <c r="AI109" s="23" t="e">
        <f t="array" ref="AI109">_xlfn.TEXTSPLIT(AH109,"_")</f>
        <v>#VALUE!</v>
      </c>
    </row>
    <row r="110" spans="1:35" ht="60" customHeight="1">
      <c r="A110" s="78">
        <f t="shared" si="2"/>
        <v>0</v>
      </c>
      <c r="C110" s="32"/>
      <c r="E110" s="65"/>
      <c r="S110" s="51"/>
      <c r="V110" s="51"/>
      <c r="W110" s="51"/>
      <c r="AH110" s="23" t="e">
        <f t="shared" si="3"/>
        <v>#VALUE!</v>
      </c>
      <c r="AI110" s="23" t="e">
        <f t="array" ref="AI110">_xlfn.TEXTSPLIT(AH110,"_")</f>
        <v>#VALUE!</v>
      </c>
    </row>
    <row r="111" spans="1:35" ht="60" customHeight="1">
      <c r="A111" s="78">
        <f t="shared" si="2"/>
        <v>0</v>
      </c>
      <c r="C111" s="32"/>
      <c r="E111" s="65"/>
      <c r="S111" s="51"/>
      <c r="V111" s="51"/>
      <c r="W111" s="51"/>
      <c r="AH111" s="23" t="e">
        <f t="shared" si="3"/>
        <v>#VALUE!</v>
      </c>
      <c r="AI111" s="23" t="e">
        <f t="array" ref="AI111">_xlfn.TEXTSPLIT(AH111,"_")</f>
        <v>#VALUE!</v>
      </c>
    </row>
    <row r="112" spans="1:35" ht="60" customHeight="1">
      <c r="A112" s="78">
        <f t="shared" si="2"/>
        <v>0</v>
      </c>
      <c r="C112" s="32"/>
      <c r="E112" s="65"/>
      <c r="S112" s="51"/>
      <c r="V112" s="51"/>
      <c r="W112" s="51"/>
      <c r="AH112" s="23" t="e">
        <f t="shared" si="3"/>
        <v>#VALUE!</v>
      </c>
      <c r="AI112" s="23" t="e">
        <f t="array" ref="AI112">_xlfn.TEXTSPLIT(AH112,"_")</f>
        <v>#VALUE!</v>
      </c>
    </row>
    <row r="113" spans="1:35" ht="60" customHeight="1">
      <c r="A113" s="78">
        <f t="shared" si="2"/>
        <v>0</v>
      </c>
      <c r="C113" s="32"/>
      <c r="E113" s="65"/>
      <c r="S113" s="51"/>
      <c r="V113" s="51"/>
      <c r="W113" s="51"/>
      <c r="AH113" s="23" t="e">
        <f t="shared" si="3"/>
        <v>#VALUE!</v>
      </c>
      <c r="AI113" s="23" t="e">
        <f t="array" ref="AI113">_xlfn.TEXTSPLIT(AH113,"_")</f>
        <v>#VALUE!</v>
      </c>
    </row>
    <row r="114" spans="1:35" ht="60" customHeight="1">
      <c r="A114" s="78">
        <f t="shared" si="2"/>
        <v>0</v>
      </c>
      <c r="C114" s="32"/>
      <c r="E114" s="65"/>
      <c r="S114" s="51"/>
      <c r="V114" s="51"/>
      <c r="W114" s="51"/>
      <c r="AH114" s="23" t="e">
        <f t="shared" si="3"/>
        <v>#VALUE!</v>
      </c>
      <c r="AI114" s="23" t="e">
        <f t="array" ref="AI114">_xlfn.TEXTSPLIT(AH114,"_")</f>
        <v>#VALUE!</v>
      </c>
    </row>
    <row r="115" spans="1:35" ht="60" customHeight="1">
      <c r="A115" s="78">
        <f t="shared" si="2"/>
        <v>0</v>
      </c>
      <c r="C115" s="32"/>
      <c r="E115" s="65"/>
      <c r="S115" s="51"/>
      <c r="V115" s="51"/>
      <c r="W115" s="51"/>
      <c r="AH115" s="23" t="e">
        <f t="shared" si="3"/>
        <v>#VALUE!</v>
      </c>
      <c r="AI115" s="23" t="e">
        <f t="array" ref="AI115">_xlfn.TEXTSPLIT(AH115,"_")</f>
        <v>#VALUE!</v>
      </c>
    </row>
    <row r="116" spans="1:35" ht="60" customHeight="1">
      <c r="A116" s="78">
        <f t="shared" si="2"/>
        <v>0</v>
      </c>
      <c r="C116" s="32"/>
      <c r="E116" s="65"/>
      <c r="S116" s="51"/>
      <c r="V116" s="51"/>
      <c r="W116" s="51"/>
      <c r="AH116" s="23" t="e">
        <f t="shared" si="3"/>
        <v>#VALUE!</v>
      </c>
      <c r="AI116" s="23" t="e">
        <f t="array" ref="AI116">_xlfn.TEXTSPLIT(AH116,"_")</f>
        <v>#VALUE!</v>
      </c>
    </row>
    <row r="117" spans="1:35" ht="60" customHeight="1">
      <c r="A117" s="78">
        <f t="shared" si="2"/>
        <v>0</v>
      </c>
      <c r="C117" s="32"/>
      <c r="E117" s="65"/>
      <c r="S117" s="51"/>
      <c r="V117" s="51"/>
      <c r="W117" s="51"/>
      <c r="AH117" s="23" t="e">
        <f t="shared" si="3"/>
        <v>#VALUE!</v>
      </c>
      <c r="AI117" s="23" t="e">
        <f t="array" ref="AI117">_xlfn.TEXTSPLIT(AH117,"_")</f>
        <v>#VALUE!</v>
      </c>
    </row>
    <row r="118" spans="1:35" ht="60" customHeight="1">
      <c r="A118" s="78">
        <f t="shared" si="2"/>
        <v>0</v>
      </c>
      <c r="C118" s="32"/>
      <c r="E118" s="65"/>
      <c r="S118" s="51"/>
      <c r="V118" s="51"/>
      <c r="W118" s="51"/>
      <c r="AH118" s="23" t="e">
        <f t="shared" si="3"/>
        <v>#VALUE!</v>
      </c>
      <c r="AI118" s="23" t="e">
        <f t="array" ref="AI118">_xlfn.TEXTSPLIT(AH118,"_")</f>
        <v>#VALUE!</v>
      </c>
    </row>
    <row r="119" spans="1:35" ht="60" customHeight="1">
      <c r="A119" s="78">
        <f t="shared" si="2"/>
        <v>0</v>
      </c>
      <c r="C119" s="32"/>
      <c r="E119" s="65"/>
      <c r="S119" s="51"/>
      <c r="V119" s="51"/>
      <c r="W119" s="51"/>
      <c r="AH119" s="23" t="e">
        <f t="shared" si="3"/>
        <v>#VALUE!</v>
      </c>
      <c r="AI119" s="23" t="e">
        <f t="array" ref="AI119">_xlfn.TEXTSPLIT(AH119,"_")</f>
        <v>#VALUE!</v>
      </c>
    </row>
    <row r="120" spans="1:35" ht="60" customHeight="1">
      <c r="A120" s="78">
        <f t="shared" si="2"/>
        <v>0</v>
      </c>
      <c r="C120" s="32"/>
      <c r="E120" s="65"/>
      <c r="S120" s="51"/>
      <c r="V120" s="51"/>
      <c r="W120" s="51"/>
      <c r="AH120" s="23" t="e">
        <f t="shared" si="3"/>
        <v>#VALUE!</v>
      </c>
      <c r="AI120" s="23" t="e">
        <f t="array" ref="AI120">_xlfn.TEXTSPLIT(AH120,"_")</f>
        <v>#VALUE!</v>
      </c>
    </row>
    <row r="121" spans="1:35" ht="60" customHeight="1">
      <c r="A121" s="78">
        <f t="shared" si="2"/>
        <v>0</v>
      </c>
      <c r="C121" s="32"/>
      <c r="E121" s="65"/>
      <c r="S121" s="51"/>
      <c r="V121" s="51"/>
      <c r="W121" s="51"/>
      <c r="AH121" s="23" t="e">
        <f t="shared" si="3"/>
        <v>#VALUE!</v>
      </c>
      <c r="AI121" s="23" t="e">
        <f t="array" ref="AI121">_xlfn.TEXTSPLIT(AH121,"_")</f>
        <v>#VALUE!</v>
      </c>
    </row>
    <row r="122" spans="1:35" ht="60" customHeight="1">
      <c r="A122" s="78">
        <f t="shared" si="2"/>
        <v>0</v>
      </c>
      <c r="C122" s="32"/>
      <c r="E122" s="65"/>
      <c r="S122" s="51"/>
      <c r="V122" s="51"/>
      <c r="W122" s="51"/>
      <c r="AH122" s="23" t="e">
        <f t="shared" si="3"/>
        <v>#VALUE!</v>
      </c>
      <c r="AI122" s="23" t="e">
        <f t="array" ref="AI122">_xlfn.TEXTSPLIT(AH122,"_")</f>
        <v>#VALUE!</v>
      </c>
    </row>
    <row r="123" spans="1:35" ht="60" customHeight="1">
      <c r="A123" s="78">
        <f t="shared" si="2"/>
        <v>0</v>
      </c>
      <c r="C123" s="32"/>
      <c r="E123" s="65"/>
      <c r="S123" s="51"/>
      <c r="V123" s="51"/>
      <c r="W123" s="51"/>
      <c r="AH123" s="23" t="e">
        <f t="shared" si="3"/>
        <v>#VALUE!</v>
      </c>
      <c r="AI123" s="23" t="e">
        <f t="array" ref="AI123">_xlfn.TEXTSPLIT(AH123,"_")</f>
        <v>#VALUE!</v>
      </c>
    </row>
    <row r="124" spans="1:35" ht="60" customHeight="1">
      <c r="A124" s="78">
        <f t="shared" si="2"/>
        <v>0</v>
      </c>
      <c r="C124" s="32"/>
      <c r="E124" s="65"/>
      <c r="S124" s="51"/>
      <c r="V124" s="51"/>
      <c r="W124" s="51"/>
      <c r="AH124" s="23" t="e">
        <f t="shared" si="3"/>
        <v>#VALUE!</v>
      </c>
      <c r="AI124" s="23" t="e">
        <f t="array" ref="AI124">_xlfn.TEXTSPLIT(AH124,"_")</f>
        <v>#VALUE!</v>
      </c>
    </row>
    <row r="125" spans="1:35" ht="60" customHeight="1">
      <c r="A125" s="78">
        <f t="shared" si="2"/>
        <v>0</v>
      </c>
      <c r="C125" s="32"/>
      <c r="E125" s="65"/>
      <c r="S125" s="51"/>
      <c r="V125" s="51"/>
      <c r="W125" s="51"/>
      <c r="AH125" s="23" t="e">
        <f t="shared" si="3"/>
        <v>#VALUE!</v>
      </c>
      <c r="AI125" s="23" t="e">
        <f t="array" ref="AI125">_xlfn.TEXTSPLIT(AH125,"_")</f>
        <v>#VALUE!</v>
      </c>
    </row>
    <row r="126" spans="1:35" ht="60" customHeight="1">
      <c r="A126" s="78">
        <f t="shared" si="2"/>
        <v>0</v>
      </c>
      <c r="C126" s="32"/>
      <c r="E126" s="65"/>
      <c r="S126" s="51"/>
      <c r="V126" s="51"/>
      <c r="W126" s="51"/>
      <c r="AH126" s="23" t="e">
        <f t="shared" si="3"/>
        <v>#VALUE!</v>
      </c>
      <c r="AI126" s="23" t="e">
        <f t="array" ref="AI126">_xlfn.TEXTSPLIT(AH126,"_")</f>
        <v>#VALUE!</v>
      </c>
    </row>
    <row r="127" spans="1:35" ht="60" customHeight="1">
      <c r="A127" s="78">
        <f t="shared" si="2"/>
        <v>0</v>
      </c>
      <c r="C127" s="32"/>
      <c r="E127" s="65"/>
      <c r="S127" s="51"/>
      <c r="V127" s="51"/>
      <c r="W127" s="51"/>
      <c r="AH127" s="23" t="e">
        <f t="shared" si="3"/>
        <v>#VALUE!</v>
      </c>
      <c r="AI127" s="23" t="e">
        <f t="array" ref="AI127">_xlfn.TEXTSPLIT(AH127,"_")</f>
        <v>#VALUE!</v>
      </c>
    </row>
    <row r="128" spans="1:35" ht="60" customHeight="1">
      <c r="A128" s="78">
        <f t="shared" si="2"/>
        <v>0</v>
      </c>
      <c r="C128" s="32"/>
      <c r="E128" s="65"/>
      <c r="S128" s="51"/>
      <c r="V128" s="51"/>
      <c r="W128" s="51"/>
      <c r="AH128" s="23" t="e">
        <f t="shared" si="3"/>
        <v>#VALUE!</v>
      </c>
      <c r="AI128" s="23" t="e">
        <f t="array" ref="AI128">_xlfn.TEXTSPLIT(AH128,"_")</f>
        <v>#VALUE!</v>
      </c>
    </row>
    <row r="129" spans="1:35" ht="60" customHeight="1">
      <c r="A129" s="78">
        <f t="shared" si="2"/>
        <v>0</v>
      </c>
      <c r="C129" s="32"/>
      <c r="E129" s="65"/>
      <c r="S129" s="51"/>
      <c r="V129" s="51"/>
      <c r="W129" s="51"/>
      <c r="AH129" s="23" t="e">
        <f t="shared" si="3"/>
        <v>#VALUE!</v>
      </c>
      <c r="AI129" s="23" t="e">
        <f t="array" ref="AI129">_xlfn.TEXTSPLIT(AH129,"_")</f>
        <v>#VALUE!</v>
      </c>
    </row>
    <row r="130" spans="1:35" ht="60" customHeight="1">
      <c r="A130" s="78">
        <f t="shared" si="2"/>
        <v>0</v>
      </c>
      <c r="C130" s="32"/>
      <c r="E130" s="65"/>
      <c r="S130" s="51"/>
      <c r="V130" s="51"/>
      <c r="W130" s="51"/>
      <c r="AH130" s="23" t="e">
        <f t="shared" si="3"/>
        <v>#VALUE!</v>
      </c>
      <c r="AI130" s="23" t="e">
        <f t="array" ref="AI130">_xlfn.TEXTSPLIT(AH130,"_")</f>
        <v>#VALUE!</v>
      </c>
    </row>
    <row r="131" spans="1:35" ht="60" customHeight="1">
      <c r="A131" s="78">
        <f t="shared" si="2"/>
        <v>0</v>
      </c>
      <c r="C131" s="32"/>
      <c r="E131" s="65"/>
      <c r="S131" s="51"/>
      <c r="V131" s="51"/>
      <c r="W131" s="51"/>
      <c r="AH131" s="23" t="e">
        <f t="shared" si="3"/>
        <v>#VALUE!</v>
      </c>
      <c r="AI131" s="23" t="e">
        <f t="array" ref="AI131">_xlfn.TEXTSPLIT(AH131,"_")</f>
        <v>#VALUE!</v>
      </c>
    </row>
    <row r="132" spans="1:35" ht="60" customHeight="1">
      <c r="A132" s="78">
        <f t="shared" si="2"/>
        <v>0</v>
      </c>
      <c r="C132" s="32"/>
      <c r="E132" s="65"/>
      <c r="S132" s="51"/>
      <c r="V132" s="51"/>
      <c r="W132" s="51"/>
      <c r="AH132" s="23" t="e">
        <f t="shared" si="3"/>
        <v>#VALUE!</v>
      </c>
      <c r="AI132" s="23" t="e">
        <f t="array" ref="AI132">_xlfn.TEXTSPLIT(AH132,"_")</f>
        <v>#VALUE!</v>
      </c>
    </row>
    <row r="133" spans="1:35" ht="60" customHeight="1">
      <c r="A133" s="78">
        <f t="shared" si="2"/>
        <v>0</v>
      </c>
      <c r="C133" s="32"/>
      <c r="E133" s="65"/>
      <c r="S133" s="51"/>
      <c r="V133" s="51"/>
      <c r="W133" s="51"/>
      <c r="AH133" s="23" t="e">
        <f t="shared" si="3"/>
        <v>#VALUE!</v>
      </c>
      <c r="AI133" s="23" t="e">
        <f t="array" ref="AI133">_xlfn.TEXTSPLIT(AH133,"_")</f>
        <v>#VALUE!</v>
      </c>
    </row>
    <row r="134" spans="1:35" ht="60" customHeight="1">
      <c r="A134" s="78">
        <f t="shared" si="2"/>
        <v>0</v>
      </c>
      <c r="C134" s="32"/>
      <c r="E134" s="65"/>
      <c r="S134" s="51"/>
      <c r="V134" s="51"/>
      <c r="W134" s="51"/>
      <c r="AH134" s="23" t="e">
        <f t="shared" si="3"/>
        <v>#VALUE!</v>
      </c>
      <c r="AI134" s="23" t="e">
        <f t="array" ref="AI134">_xlfn.TEXTSPLIT(AH134,"_")</f>
        <v>#VALUE!</v>
      </c>
    </row>
    <row r="135" spans="1:35" ht="60" customHeight="1">
      <c r="A135" s="78">
        <f t="shared" si="2"/>
        <v>0</v>
      </c>
      <c r="C135" s="32"/>
      <c r="E135" s="65"/>
      <c r="S135" s="51"/>
      <c r="V135" s="51"/>
      <c r="W135" s="51"/>
      <c r="AH135" s="23" t="e">
        <f t="shared" si="3"/>
        <v>#VALUE!</v>
      </c>
      <c r="AI135" s="23" t="e">
        <f t="array" ref="AI135">_xlfn.TEXTSPLIT(AH135,"_")</f>
        <v>#VALUE!</v>
      </c>
    </row>
    <row r="136" spans="1:35" ht="60" customHeight="1">
      <c r="A136" s="78">
        <f t="shared" si="2"/>
        <v>0</v>
      </c>
      <c r="C136" s="32"/>
      <c r="E136" s="65"/>
      <c r="S136" s="51"/>
      <c r="V136" s="51"/>
      <c r="W136" s="51"/>
      <c r="AH136" s="23" t="e">
        <f t="shared" si="3"/>
        <v>#VALUE!</v>
      </c>
      <c r="AI136" s="23" t="e">
        <f t="array" ref="AI136">_xlfn.TEXTSPLIT(AH136,"_")</f>
        <v>#VALUE!</v>
      </c>
    </row>
    <row r="137" spans="1:35" ht="60" customHeight="1">
      <c r="A137" s="78">
        <f t="shared" si="2"/>
        <v>0</v>
      </c>
      <c r="C137" s="32"/>
      <c r="E137" s="65"/>
      <c r="S137" s="51"/>
      <c r="V137" s="51"/>
      <c r="W137" s="51"/>
      <c r="AH137" s="23" t="e">
        <f t="shared" si="3"/>
        <v>#VALUE!</v>
      </c>
      <c r="AI137" s="23" t="e">
        <f t="array" ref="AI137">_xlfn.TEXTSPLIT(AH137,"_")</f>
        <v>#VALUE!</v>
      </c>
    </row>
    <row r="138" spans="1:35" ht="60" customHeight="1">
      <c r="A138" s="78">
        <f t="shared" si="2"/>
        <v>0</v>
      </c>
      <c r="C138" s="32"/>
      <c r="E138" s="65"/>
      <c r="S138" s="51"/>
      <c r="V138" s="51"/>
      <c r="W138" s="51"/>
      <c r="AH138" s="23" t="e">
        <f t="shared" si="3"/>
        <v>#VALUE!</v>
      </c>
      <c r="AI138" s="23" t="e">
        <f t="array" ref="AI138">_xlfn.TEXTSPLIT(AH138,"_")</f>
        <v>#VALUE!</v>
      </c>
    </row>
    <row r="139" spans="1:35" ht="60" customHeight="1">
      <c r="A139" s="78">
        <f t="shared" ref="A139:A202" si="4">D139</f>
        <v>0</v>
      </c>
      <c r="C139" s="32"/>
      <c r="E139" s="65"/>
      <c r="S139" s="51"/>
      <c r="V139" s="51"/>
      <c r="W139" s="51"/>
      <c r="AH139" s="23" t="e">
        <f t="shared" ref="AH139:AH200" si="5">RIGHT(R139,LEN(R139)-FIND($Q$5,R139)+1)</f>
        <v>#VALUE!</v>
      </c>
      <c r="AI139" s="23" t="e">
        <f t="array" ref="AI139">_xlfn.TEXTSPLIT(AH139,"_")</f>
        <v>#VALUE!</v>
      </c>
    </row>
    <row r="140" spans="1:35" ht="60" customHeight="1">
      <c r="A140" s="78">
        <f t="shared" si="4"/>
        <v>0</v>
      </c>
      <c r="C140" s="32"/>
      <c r="E140" s="65"/>
      <c r="S140" s="51"/>
      <c r="V140" s="51"/>
      <c r="W140" s="51"/>
      <c r="AH140" s="23" t="e">
        <f t="shared" si="5"/>
        <v>#VALUE!</v>
      </c>
      <c r="AI140" s="23" t="e">
        <f t="array" ref="AI140">_xlfn.TEXTSPLIT(AH140,"_")</f>
        <v>#VALUE!</v>
      </c>
    </row>
    <row r="141" spans="1:35" ht="60" customHeight="1">
      <c r="A141" s="78">
        <f t="shared" si="4"/>
        <v>0</v>
      </c>
      <c r="C141" s="32"/>
      <c r="E141" s="65"/>
      <c r="S141" s="51"/>
      <c r="V141" s="51"/>
      <c r="W141" s="51"/>
      <c r="AH141" s="23" t="e">
        <f t="shared" si="5"/>
        <v>#VALUE!</v>
      </c>
      <c r="AI141" s="23" t="e">
        <f t="array" ref="AI141">_xlfn.TEXTSPLIT(AH141,"_")</f>
        <v>#VALUE!</v>
      </c>
    </row>
    <row r="142" spans="1:35" ht="60" customHeight="1">
      <c r="A142" s="78">
        <f t="shared" si="4"/>
        <v>0</v>
      </c>
      <c r="C142" s="32"/>
      <c r="E142" s="65"/>
      <c r="S142" s="51"/>
      <c r="V142" s="51"/>
      <c r="W142" s="51"/>
      <c r="AH142" s="23" t="e">
        <f t="shared" si="5"/>
        <v>#VALUE!</v>
      </c>
      <c r="AI142" s="23" t="e">
        <f t="array" ref="AI142">_xlfn.TEXTSPLIT(AH142,"_")</f>
        <v>#VALUE!</v>
      </c>
    </row>
    <row r="143" spans="1:35" ht="60" customHeight="1">
      <c r="A143" s="78">
        <f t="shared" si="4"/>
        <v>0</v>
      </c>
      <c r="C143" s="32"/>
      <c r="E143" s="65"/>
      <c r="S143" s="51"/>
      <c r="V143" s="51"/>
      <c r="W143" s="51"/>
      <c r="AH143" s="23" t="e">
        <f t="shared" si="5"/>
        <v>#VALUE!</v>
      </c>
      <c r="AI143" s="23" t="e">
        <f t="array" ref="AI143">_xlfn.TEXTSPLIT(AH143,"_")</f>
        <v>#VALUE!</v>
      </c>
    </row>
    <row r="144" spans="1:35" ht="60" customHeight="1">
      <c r="A144" s="78">
        <f t="shared" si="4"/>
        <v>0</v>
      </c>
      <c r="C144" s="32"/>
      <c r="E144" s="65"/>
      <c r="S144" s="51"/>
      <c r="V144" s="51"/>
      <c r="W144" s="51"/>
      <c r="AH144" s="23" t="e">
        <f t="shared" si="5"/>
        <v>#VALUE!</v>
      </c>
      <c r="AI144" s="23" t="e">
        <f t="array" ref="AI144">_xlfn.TEXTSPLIT(AH144,"_")</f>
        <v>#VALUE!</v>
      </c>
    </row>
    <row r="145" spans="1:35" ht="60" customHeight="1">
      <c r="A145" s="78">
        <f t="shared" si="4"/>
        <v>0</v>
      </c>
      <c r="C145" s="32"/>
      <c r="E145" s="65"/>
      <c r="S145" s="51"/>
      <c r="V145" s="51"/>
      <c r="W145" s="51"/>
      <c r="AH145" s="23" t="e">
        <f t="shared" si="5"/>
        <v>#VALUE!</v>
      </c>
      <c r="AI145" s="23" t="e">
        <f t="array" ref="AI145">_xlfn.TEXTSPLIT(AH145,"_")</f>
        <v>#VALUE!</v>
      </c>
    </row>
    <row r="146" spans="1:35" ht="60" customHeight="1">
      <c r="A146" s="78">
        <f t="shared" si="4"/>
        <v>0</v>
      </c>
      <c r="C146" s="32"/>
      <c r="E146" s="65"/>
      <c r="S146" s="51"/>
      <c r="V146" s="51"/>
      <c r="W146" s="51"/>
      <c r="AH146" s="23" t="e">
        <f t="shared" si="5"/>
        <v>#VALUE!</v>
      </c>
      <c r="AI146" s="23" t="e">
        <f t="array" ref="AI146">_xlfn.TEXTSPLIT(AH146,"_")</f>
        <v>#VALUE!</v>
      </c>
    </row>
    <row r="147" spans="1:35" ht="60" customHeight="1">
      <c r="A147" s="78">
        <f t="shared" si="4"/>
        <v>0</v>
      </c>
      <c r="C147" s="32"/>
      <c r="E147" s="65"/>
      <c r="S147" s="51"/>
      <c r="V147" s="51"/>
      <c r="W147" s="51"/>
      <c r="AH147" s="23" t="e">
        <f t="shared" si="5"/>
        <v>#VALUE!</v>
      </c>
      <c r="AI147" s="23" t="e">
        <f t="array" ref="AI147">_xlfn.TEXTSPLIT(AH147,"_")</f>
        <v>#VALUE!</v>
      </c>
    </row>
    <row r="148" spans="1:35" ht="60" customHeight="1">
      <c r="A148" s="78">
        <f t="shared" si="4"/>
        <v>0</v>
      </c>
      <c r="C148" s="32"/>
      <c r="E148" s="65"/>
      <c r="S148" s="51"/>
      <c r="V148" s="51"/>
      <c r="W148" s="51"/>
      <c r="AH148" s="23" t="e">
        <f t="shared" si="5"/>
        <v>#VALUE!</v>
      </c>
      <c r="AI148" s="23" t="e">
        <f t="array" ref="AI148">_xlfn.TEXTSPLIT(AH148,"_")</f>
        <v>#VALUE!</v>
      </c>
    </row>
    <row r="149" spans="1:35" ht="60" customHeight="1">
      <c r="A149" s="78">
        <f t="shared" si="4"/>
        <v>0</v>
      </c>
      <c r="C149" s="32"/>
      <c r="E149" s="65"/>
      <c r="S149" s="51"/>
      <c r="V149" s="51"/>
      <c r="W149" s="51"/>
      <c r="AH149" s="23" t="e">
        <f t="shared" si="5"/>
        <v>#VALUE!</v>
      </c>
      <c r="AI149" s="23" t="e">
        <f t="array" ref="AI149">_xlfn.TEXTSPLIT(AH149,"_")</f>
        <v>#VALUE!</v>
      </c>
    </row>
    <row r="150" spans="1:35" ht="60" customHeight="1">
      <c r="A150" s="78">
        <f t="shared" si="4"/>
        <v>0</v>
      </c>
      <c r="C150" s="32"/>
      <c r="E150" s="65"/>
      <c r="S150" s="51"/>
      <c r="V150" s="51"/>
      <c r="W150" s="51"/>
      <c r="AH150" s="23" t="e">
        <f t="shared" si="5"/>
        <v>#VALUE!</v>
      </c>
      <c r="AI150" s="23" t="e">
        <f t="array" ref="AI150">_xlfn.TEXTSPLIT(AH150,"_")</f>
        <v>#VALUE!</v>
      </c>
    </row>
    <row r="151" spans="1:35" ht="60" customHeight="1">
      <c r="A151" s="78">
        <f t="shared" si="4"/>
        <v>0</v>
      </c>
      <c r="C151" s="32"/>
      <c r="E151" s="65"/>
      <c r="S151" s="51"/>
      <c r="V151" s="51"/>
      <c r="W151" s="51"/>
      <c r="AH151" s="23" t="e">
        <f t="shared" si="5"/>
        <v>#VALUE!</v>
      </c>
      <c r="AI151" s="23" t="e">
        <f t="array" ref="AI151">_xlfn.TEXTSPLIT(AH151,"_")</f>
        <v>#VALUE!</v>
      </c>
    </row>
    <row r="152" spans="1:35" ht="60" customHeight="1">
      <c r="A152" s="78">
        <f t="shared" si="4"/>
        <v>0</v>
      </c>
      <c r="C152" s="32"/>
      <c r="E152" s="65"/>
      <c r="S152" s="51"/>
      <c r="V152" s="51"/>
      <c r="W152" s="51"/>
      <c r="AH152" s="23" t="e">
        <f t="shared" si="5"/>
        <v>#VALUE!</v>
      </c>
      <c r="AI152" s="23" t="e">
        <f t="array" ref="AI152">_xlfn.TEXTSPLIT(AH152,"_")</f>
        <v>#VALUE!</v>
      </c>
    </row>
    <row r="153" spans="1:35" ht="60" customHeight="1">
      <c r="A153" s="78">
        <f t="shared" si="4"/>
        <v>0</v>
      </c>
      <c r="C153" s="32"/>
      <c r="E153" s="65"/>
      <c r="S153" s="51"/>
      <c r="V153" s="51"/>
      <c r="W153" s="51"/>
      <c r="AH153" s="23" t="e">
        <f t="shared" si="5"/>
        <v>#VALUE!</v>
      </c>
      <c r="AI153" s="23" t="e">
        <f t="array" ref="AI153">_xlfn.TEXTSPLIT(AH153,"_")</f>
        <v>#VALUE!</v>
      </c>
    </row>
    <row r="154" spans="1:35" ht="60" customHeight="1">
      <c r="A154" s="78">
        <f t="shared" si="4"/>
        <v>0</v>
      </c>
      <c r="C154" s="32"/>
      <c r="E154" s="65"/>
      <c r="S154" s="51"/>
      <c r="V154" s="51"/>
      <c r="W154" s="51"/>
      <c r="AH154" s="23" t="e">
        <f t="shared" si="5"/>
        <v>#VALUE!</v>
      </c>
      <c r="AI154" s="23" t="e">
        <f t="array" ref="AI154">_xlfn.TEXTSPLIT(AH154,"_")</f>
        <v>#VALUE!</v>
      </c>
    </row>
    <row r="155" spans="1:35" ht="60" customHeight="1">
      <c r="A155" s="78">
        <f t="shared" si="4"/>
        <v>0</v>
      </c>
      <c r="C155" s="32"/>
      <c r="E155" s="65"/>
      <c r="S155" s="51"/>
      <c r="V155" s="51"/>
      <c r="W155" s="51"/>
      <c r="AH155" s="23" t="e">
        <f t="shared" si="5"/>
        <v>#VALUE!</v>
      </c>
      <c r="AI155" s="23" t="e">
        <f t="array" ref="AI155">_xlfn.TEXTSPLIT(AH155,"_")</f>
        <v>#VALUE!</v>
      </c>
    </row>
    <row r="156" spans="1:35" ht="60" customHeight="1">
      <c r="A156" s="78">
        <f t="shared" si="4"/>
        <v>0</v>
      </c>
      <c r="C156" s="32"/>
      <c r="E156" s="65"/>
      <c r="S156" s="51"/>
      <c r="V156" s="51"/>
      <c r="W156" s="51"/>
      <c r="AH156" s="23" t="e">
        <f t="shared" si="5"/>
        <v>#VALUE!</v>
      </c>
      <c r="AI156" s="23" t="e">
        <f t="array" ref="AI156">_xlfn.TEXTSPLIT(AH156,"_")</f>
        <v>#VALUE!</v>
      </c>
    </row>
    <row r="157" spans="1:35" ht="60" customHeight="1">
      <c r="A157" s="78">
        <f t="shared" si="4"/>
        <v>0</v>
      </c>
      <c r="C157" s="32"/>
      <c r="E157" s="65"/>
      <c r="S157" s="51"/>
      <c r="V157" s="51"/>
      <c r="W157" s="51"/>
      <c r="AH157" s="23" t="e">
        <f t="shared" si="5"/>
        <v>#VALUE!</v>
      </c>
      <c r="AI157" s="23" t="e">
        <f t="array" ref="AI157">_xlfn.TEXTSPLIT(AH157,"_")</f>
        <v>#VALUE!</v>
      </c>
    </row>
    <row r="158" spans="1:35" ht="60" customHeight="1">
      <c r="A158" s="78">
        <f t="shared" si="4"/>
        <v>0</v>
      </c>
      <c r="C158" s="32"/>
      <c r="E158" s="65"/>
      <c r="S158" s="51"/>
      <c r="V158" s="51"/>
      <c r="W158" s="51"/>
      <c r="AH158" s="23" t="e">
        <f t="shared" si="5"/>
        <v>#VALUE!</v>
      </c>
      <c r="AI158" s="23" t="e">
        <f t="array" ref="AI158">_xlfn.TEXTSPLIT(AH158,"_")</f>
        <v>#VALUE!</v>
      </c>
    </row>
    <row r="159" spans="1:35" ht="60" customHeight="1">
      <c r="A159" s="78">
        <f t="shared" si="4"/>
        <v>0</v>
      </c>
      <c r="C159" s="32"/>
      <c r="E159" s="65"/>
      <c r="S159" s="51"/>
      <c r="V159" s="51"/>
      <c r="W159" s="51"/>
      <c r="AH159" s="23" t="e">
        <f t="shared" si="5"/>
        <v>#VALUE!</v>
      </c>
      <c r="AI159" s="23" t="e">
        <f t="array" ref="AI159">_xlfn.TEXTSPLIT(AH159,"_")</f>
        <v>#VALUE!</v>
      </c>
    </row>
    <row r="160" spans="1:35" ht="60" customHeight="1">
      <c r="A160" s="78">
        <f t="shared" si="4"/>
        <v>0</v>
      </c>
      <c r="C160" s="32"/>
      <c r="E160" s="65"/>
      <c r="S160" s="51"/>
      <c r="V160" s="51"/>
      <c r="W160" s="51"/>
      <c r="AH160" s="23" t="e">
        <f t="shared" si="5"/>
        <v>#VALUE!</v>
      </c>
      <c r="AI160" s="23" t="e">
        <f t="array" ref="AI160">_xlfn.TEXTSPLIT(AH160,"_")</f>
        <v>#VALUE!</v>
      </c>
    </row>
    <row r="161" spans="1:35" ht="60" customHeight="1">
      <c r="A161" s="78">
        <f t="shared" si="4"/>
        <v>0</v>
      </c>
      <c r="C161" s="32"/>
      <c r="E161" s="65"/>
      <c r="S161" s="51"/>
      <c r="V161" s="51"/>
      <c r="W161" s="51"/>
      <c r="AH161" s="23" t="e">
        <f t="shared" si="5"/>
        <v>#VALUE!</v>
      </c>
      <c r="AI161" s="23" t="e">
        <f t="array" ref="AI161">_xlfn.TEXTSPLIT(AH161,"_")</f>
        <v>#VALUE!</v>
      </c>
    </row>
    <row r="162" spans="1:35" ht="60" customHeight="1">
      <c r="A162" s="78">
        <f t="shared" si="4"/>
        <v>0</v>
      </c>
      <c r="C162" s="32"/>
      <c r="E162" s="65"/>
      <c r="S162" s="51"/>
      <c r="V162" s="51"/>
      <c r="W162" s="51"/>
      <c r="AH162" s="23" t="e">
        <f t="shared" si="5"/>
        <v>#VALUE!</v>
      </c>
      <c r="AI162" s="23" t="e">
        <f t="array" ref="AI162">_xlfn.TEXTSPLIT(AH162,"_")</f>
        <v>#VALUE!</v>
      </c>
    </row>
    <row r="163" spans="1:35" ht="60" customHeight="1">
      <c r="A163" s="78">
        <f t="shared" si="4"/>
        <v>0</v>
      </c>
      <c r="C163" s="32"/>
      <c r="E163" s="65"/>
      <c r="S163" s="51"/>
      <c r="V163" s="51"/>
      <c r="W163" s="51"/>
      <c r="AH163" s="23" t="e">
        <f t="shared" si="5"/>
        <v>#VALUE!</v>
      </c>
      <c r="AI163" s="23" t="e">
        <f t="array" ref="AI163">_xlfn.TEXTSPLIT(AH163,"_")</f>
        <v>#VALUE!</v>
      </c>
    </row>
    <row r="164" spans="1:35" ht="60" customHeight="1">
      <c r="A164" s="78">
        <f t="shared" si="4"/>
        <v>0</v>
      </c>
      <c r="C164" s="32"/>
      <c r="E164" s="65"/>
      <c r="S164" s="51"/>
      <c r="V164" s="51"/>
      <c r="W164" s="51"/>
      <c r="AH164" s="23" t="e">
        <f t="shared" si="5"/>
        <v>#VALUE!</v>
      </c>
      <c r="AI164" s="23" t="e">
        <f t="array" ref="AI164">_xlfn.TEXTSPLIT(AH164,"_")</f>
        <v>#VALUE!</v>
      </c>
    </row>
    <row r="165" spans="1:35" ht="60" customHeight="1">
      <c r="A165" s="78">
        <f t="shared" si="4"/>
        <v>0</v>
      </c>
      <c r="C165" s="32"/>
      <c r="E165" s="65"/>
      <c r="S165" s="51"/>
      <c r="V165" s="51"/>
      <c r="W165" s="51"/>
      <c r="AH165" s="23" t="e">
        <f t="shared" si="5"/>
        <v>#VALUE!</v>
      </c>
      <c r="AI165" s="23" t="e">
        <f t="array" ref="AI165">_xlfn.TEXTSPLIT(AH165,"_")</f>
        <v>#VALUE!</v>
      </c>
    </row>
    <row r="166" spans="1:35" ht="60" customHeight="1">
      <c r="A166" s="78">
        <f t="shared" si="4"/>
        <v>0</v>
      </c>
      <c r="C166" s="32"/>
      <c r="E166" s="65"/>
      <c r="S166" s="51"/>
      <c r="V166" s="51"/>
      <c r="W166" s="51"/>
      <c r="AH166" s="23" t="e">
        <f t="shared" si="5"/>
        <v>#VALUE!</v>
      </c>
      <c r="AI166" s="23" t="e">
        <f t="array" ref="AI166">_xlfn.TEXTSPLIT(AH166,"_")</f>
        <v>#VALUE!</v>
      </c>
    </row>
    <row r="167" spans="1:35" ht="60" customHeight="1">
      <c r="A167" s="78">
        <f t="shared" si="4"/>
        <v>0</v>
      </c>
      <c r="C167" s="32"/>
      <c r="E167" s="65"/>
      <c r="S167" s="51"/>
      <c r="V167" s="51"/>
      <c r="W167" s="51"/>
      <c r="AH167" s="23" t="e">
        <f t="shared" si="5"/>
        <v>#VALUE!</v>
      </c>
      <c r="AI167" s="23" t="e">
        <f t="array" ref="AI167">_xlfn.TEXTSPLIT(AH167,"_")</f>
        <v>#VALUE!</v>
      </c>
    </row>
    <row r="168" spans="1:35" ht="60" customHeight="1">
      <c r="A168" s="78">
        <f t="shared" si="4"/>
        <v>0</v>
      </c>
      <c r="C168" s="32"/>
      <c r="E168" s="65"/>
      <c r="S168" s="51"/>
      <c r="V168" s="51"/>
      <c r="W168" s="51"/>
      <c r="AH168" s="23" t="e">
        <f t="shared" si="5"/>
        <v>#VALUE!</v>
      </c>
      <c r="AI168" s="23" t="e">
        <f t="array" ref="AI168">_xlfn.TEXTSPLIT(AH168,"_")</f>
        <v>#VALUE!</v>
      </c>
    </row>
    <row r="169" spans="1:35" ht="60" customHeight="1">
      <c r="A169" s="78">
        <f t="shared" si="4"/>
        <v>0</v>
      </c>
      <c r="C169" s="32"/>
      <c r="E169" s="65"/>
      <c r="S169" s="51"/>
      <c r="V169" s="51"/>
      <c r="W169" s="51"/>
      <c r="AH169" s="23" t="e">
        <f t="shared" si="5"/>
        <v>#VALUE!</v>
      </c>
      <c r="AI169" s="23" t="e">
        <f t="array" ref="AI169">_xlfn.TEXTSPLIT(AH169,"_")</f>
        <v>#VALUE!</v>
      </c>
    </row>
    <row r="170" spans="1:35" ht="60" customHeight="1">
      <c r="A170" s="78">
        <f t="shared" si="4"/>
        <v>0</v>
      </c>
      <c r="C170" s="32"/>
      <c r="E170" s="65"/>
      <c r="S170" s="51"/>
      <c r="V170" s="51"/>
      <c r="W170" s="51"/>
      <c r="AH170" s="23" t="e">
        <f t="shared" si="5"/>
        <v>#VALUE!</v>
      </c>
      <c r="AI170" s="23" t="e">
        <f t="array" ref="AI170">_xlfn.TEXTSPLIT(AH170,"_")</f>
        <v>#VALUE!</v>
      </c>
    </row>
    <row r="171" spans="1:35" ht="60" customHeight="1">
      <c r="A171" s="78">
        <f t="shared" si="4"/>
        <v>0</v>
      </c>
      <c r="C171" s="32"/>
      <c r="E171" s="65"/>
      <c r="S171" s="51"/>
      <c r="V171" s="51"/>
      <c r="W171" s="51"/>
      <c r="AH171" s="23" t="e">
        <f t="shared" si="5"/>
        <v>#VALUE!</v>
      </c>
      <c r="AI171" s="23" t="e">
        <f t="array" ref="AI171">_xlfn.TEXTSPLIT(AH171,"_")</f>
        <v>#VALUE!</v>
      </c>
    </row>
    <row r="172" spans="1:35" ht="60" customHeight="1">
      <c r="A172" s="78">
        <f t="shared" si="4"/>
        <v>0</v>
      </c>
      <c r="C172" s="32"/>
      <c r="E172" s="65"/>
      <c r="S172" s="51"/>
      <c r="V172" s="51"/>
      <c r="W172" s="51"/>
      <c r="AH172" s="23" t="e">
        <f t="shared" si="5"/>
        <v>#VALUE!</v>
      </c>
      <c r="AI172" s="23" t="e">
        <f t="array" ref="AI172">_xlfn.TEXTSPLIT(AH172,"_")</f>
        <v>#VALUE!</v>
      </c>
    </row>
    <row r="173" spans="1:35" ht="60" customHeight="1">
      <c r="A173" s="78">
        <f t="shared" si="4"/>
        <v>0</v>
      </c>
      <c r="C173" s="32"/>
      <c r="E173" s="65"/>
      <c r="S173" s="51"/>
      <c r="V173" s="51"/>
      <c r="W173" s="51"/>
      <c r="AH173" s="23" t="e">
        <f t="shared" si="5"/>
        <v>#VALUE!</v>
      </c>
      <c r="AI173" s="23" t="e">
        <f t="array" ref="AI173">_xlfn.TEXTSPLIT(AH173,"_")</f>
        <v>#VALUE!</v>
      </c>
    </row>
    <row r="174" spans="1:35" ht="60" customHeight="1">
      <c r="A174" s="78">
        <f t="shared" si="4"/>
        <v>0</v>
      </c>
      <c r="C174" s="32"/>
      <c r="E174" s="65"/>
      <c r="S174" s="51"/>
      <c r="V174" s="51"/>
      <c r="W174" s="51"/>
      <c r="AH174" s="23" t="e">
        <f t="shared" si="5"/>
        <v>#VALUE!</v>
      </c>
      <c r="AI174" s="23" t="e">
        <f t="array" ref="AI174">_xlfn.TEXTSPLIT(AH174,"_")</f>
        <v>#VALUE!</v>
      </c>
    </row>
    <row r="175" spans="1:35" ht="60" customHeight="1">
      <c r="A175" s="78">
        <f t="shared" si="4"/>
        <v>0</v>
      </c>
      <c r="C175" s="32"/>
      <c r="E175" s="65"/>
      <c r="S175" s="51"/>
      <c r="V175" s="51"/>
      <c r="W175" s="51"/>
      <c r="AH175" s="23" t="e">
        <f t="shared" si="5"/>
        <v>#VALUE!</v>
      </c>
      <c r="AI175" s="23" t="e">
        <f t="array" ref="AI175">_xlfn.TEXTSPLIT(AH175,"_")</f>
        <v>#VALUE!</v>
      </c>
    </row>
    <row r="176" spans="1:35" ht="60" customHeight="1">
      <c r="A176" s="78">
        <f t="shared" si="4"/>
        <v>0</v>
      </c>
      <c r="C176" s="32"/>
      <c r="E176" s="65"/>
      <c r="S176" s="51"/>
      <c r="V176" s="51"/>
      <c r="W176" s="51"/>
      <c r="AH176" s="23" t="e">
        <f t="shared" si="5"/>
        <v>#VALUE!</v>
      </c>
      <c r="AI176" s="23" t="e">
        <f t="array" ref="AI176">_xlfn.TEXTSPLIT(AH176,"_")</f>
        <v>#VALUE!</v>
      </c>
    </row>
    <row r="177" spans="1:35" ht="60" customHeight="1">
      <c r="A177" s="78">
        <f t="shared" si="4"/>
        <v>0</v>
      </c>
      <c r="C177" s="32"/>
      <c r="E177" s="65"/>
      <c r="S177" s="51"/>
      <c r="V177" s="51"/>
      <c r="W177" s="51"/>
      <c r="AH177" s="23" t="e">
        <f t="shared" si="5"/>
        <v>#VALUE!</v>
      </c>
      <c r="AI177" s="23" t="e">
        <f t="array" ref="AI177">_xlfn.TEXTSPLIT(AH177,"_")</f>
        <v>#VALUE!</v>
      </c>
    </row>
    <row r="178" spans="1:35" ht="60" customHeight="1">
      <c r="A178" s="78">
        <f t="shared" si="4"/>
        <v>0</v>
      </c>
      <c r="C178" s="32"/>
      <c r="E178" s="65"/>
      <c r="S178" s="51"/>
      <c r="V178" s="51"/>
      <c r="W178" s="51"/>
      <c r="AH178" s="23" t="e">
        <f t="shared" si="5"/>
        <v>#VALUE!</v>
      </c>
      <c r="AI178" s="23" t="e">
        <f t="array" ref="AI178">_xlfn.TEXTSPLIT(AH178,"_")</f>
        <v>#VALUE!</v>
      </c>
    </row>
    <row r="179" spans="1:35" ht="60" customHeight="1">
      <c r="A179" s="78">
        <f t="shared" si="4"/>
        <v>0</v>
      </c>
      <c r="C179" s="32"/>
      <c r="E179" s="65"/>
      <c r="S179" s="51"/>
      <c r="V179" s="51"/>
      <c r="W179" s="51"/>
      <c r="AH179" s="23" t="e">
        <f t="shared" si="5"/>
        <v>#VALUE!</v>
      </c>
      <c r="AI179" s="23" t="e">
        <f t="array" ref="AI179">_xlfn.TEXTSPLIT(AH179,"_")</f>
        <v>#VALUE!</v>
      </c>
    </row>
    <row r="180" spans="1:35" ht="60" customHeight="1">
      <c r="A180" s="78">
        <f t="shared" si="4"/>
        <v>0</v>
      </c>
      <c r="C180" s="32"/>
      <c r="E180" s="65"/>
      <c r="S180" s="51"/>
      <c r="V180" s="51"/>
      <c r="W180" s="51"/>
      <c r="AH180" s="23" t="e">
        <f t="shared" si="5"/>
        <v>#VALUE!</v>
      </c>
      <c r="AI180" s="23" t="e">
        <f t="array" ref="AI180">_xlfn.TEXTSPLIT(AH180,"_")</f>
        <v>#VALUE!</v>
      </c>
    </row>
    <row r="181" spans="1:35" ht="60" customHeight="1">
      <c r="A181" s="78">
        <f t="shared" si="4"/>
        <v>0</v>
      </c>
      <c r="C181" s="32"/>
      <c r="E181" s="65"/>
      <c r="S181" s="51"/>
      <c r="V181" s="51"/>
      <c r="W181" s="51"/>
      <c r="AH181" s="23" t="e">
        <f t="shared" si="5"/>
        <v>#VALUE!</v>
      </c>
      <c r="AI181" s="23" t="e">
        <f t="array" ref="AI181">_xlfn.TEXTSPLIT(AH181,"_")</f>
        <v>#VALUE!</v>
      </c>
    </row>
    <row r="182" spans="1:35" ht="60" customHeight="1">
      <c r="A182" s="78">
        <f t="shared" si="4"/>
        <v>0</v>
      </c>
      <c r="C182" s="32"/>
      <c r="E182" s="65"/>
      <c r="S182" s="51"/>
      <c r="V182" s="51"/>
      <c r="W182" s="51"/>
      <c r="AH182" s="23" t="e">
        <f t="shared" si="5"/>
        <v>#VALUE!</v>
      </c>
      <c r="AI182" s="23" t="e">
        <f t="array" ref="AI182">_xlfn.TEXTSPLIT(AH182,"_")</f>
        <v>#VALUE!</v>
      </c>
    </row>
    <row r="183" spans="1:35" ht="60" customHeight="1">
      <c r="A183" s="78">
        <f t="shared" si="4"/>
        <v>0</v>
      </c>
      <c r="C183" s="32"/>
      <c r="E183" s="65"/>
      <c r="S183" s="51"/>
      <c r="V183" s="51"/>
      <c r="W183" s="51"/>
      <c r="AH183" s="23" t="e">
        <f t="shared" si="5"/>
        <v>#VALUE!</v>
      </c>
      <c r="AI183" s="23" t="e">
        <f t="array" ref="AI183">_xlfn.TEXTSPLIT(AH183,"_")</f>
        <v>#VALUE!</v>
      </c>
    </row>
    <row r="184" spans="1:35" ht="60" customHeight="1">
      <c r="A184" s="78">
        <f t="shared" si="4"/>
        <v>0</v>
      </c>
      <c r="C184" s="32"/>
      <c r="E184" s="65"/>
      <c r="S184" s="51"/>
      <c r="V184" s="51"/>
      <c r="W184" s="51"/>
      <c r="AH184" s="23" t="e">
        <f t="shared" si="5"/>
        <v>#VALUE!</v>
      </c>
      <c r="AI184" s="23" t="e">
        <f t="array" ref="AI184">_xlfn.TEXTSPLIT(AH184,"_")</f>
        <v>#VALUE!</v>
      </c>
    </row>
    <row r="185" spans="1:35" ht="60" customHeight="1">
      <c r="A185" s="78">
        <f t="shared" si="4"/>
        <v>0</v>
      </c>
      <c r="C185" s="32"/>
      <c r="E185" s="65"/>
      <c r="S185" s="51"/>
      <c r="V185" s="51"/>
      <c r="W185" s="51"/>
      <c r="AH185" s="23" t="e">
        <f t="shared" si="5"/>
        <v>#VALUE!</v>
      </c>
      <c r="AI185" s="23" t="e">
        <f t="array" ref="AI185">_xlfn.TEXTSPLIT(AH185,"_")</f>
        <v>#VALUE!</v>
      </c>
    </row>
    <row r="186" spans="1:35" ht="60" customHeight="1">
      <c r="A186" s="78">
        <f t="shared" si="4"/>
        <v>0</v>
      </c>
      <c r="C186" s="32"/>
      <c r="E186" s="65"/>
      <c r="S186" s="51"/>
      <c r="V186" s="51"/>
      <c r="W186" s="51"/>
      <c r="AH186" s="23" t="e">
        <f t="shared" si="5"/>
        <v>#VALUE!</v>
      </c>
      <c r="AI186" s="23" t="e">
        <f t="array" ref="AI186">_xlfn.TEXTSPLIT(AH186,"_")</f>
        <v>#VALUE!</v>
      </c>
    </row>
    <row r="187" spans="1:35" ht="60" customHeight="1">
      <c r="A187" s="78">
        <f t="shared" si="4"/>
        <v>0</v>
      </c>
      <c r="C187" s="32"/>
      <c r="E187" s="65"/>
      <c r="S187" s="51"/>
      <c r="V187" s="51"/>
      <c r="W187" s="51"/>
      <c r="AH187" s="23" t="e">
        <f t="shared" si="5"/>
        <v>#VALUE!</v>
      </c>
      <c r="AI187" s="23" t="e">
        <f t="array" ref="AI187">_xlfn.TEXTSPLIT(AH187,"_")</f>
        <v>#VALUE!</v>
      </c>
    </row>
    <row r="188" spans="1:35" ht="60" customHeight="1">
      <c r="A188" s="78">
        <f t="shared" si="4"/>
        <v>0</v>
      </c>
      <c r="C188" s="32"/>
      <c r="E188" s="65"/>
      <c r="S188" s="51"/>
      <c r="V188" s="51"/>
      <c r="W188" s="51"/>
      <c r="AH188" s="23" t="e">
        <f t="shared" si="5"/>
        <v>#VALUE!</v>
      </c>
      <c r="AI188" s="23" t="e">
        <f t="array" ref="AI188">_xlfn.TEXTSPLIT(AH188,"_")</f>
        <v>#VALUE!</v>
      </c>
    </row>
    <row r="189" spans="1:35" ht="60" customHeight="1">
      <c r="A189" s="78">
        <f t="shared" si="4"/>
        <v>0</v>
      </c>
      <c r="C189" s="32"/>
      <c r="E189" s="65"/>
      <c r="S189" s="51"/>
      <c r="V189" s="51"/>
      <c r="W189" s="51"/>
      <c r="AH189" s="23" t="e">
        <f t="shared" si="5"/>
        <v>#VALUE!</v>
      </c>
      <c r="AI189" s="23" t="e">
        <f t="array" ref="AI189">_xlfn.TEXTSPLIT(AH189,"_")</f>
        <v>#VALUE!</v>
      </c>
    </row>
    <row r="190" spans="1:35" ht="60" customHeight="1">
      <c r="A190" s="78">
        <f t="shared" si="4"/>
        <v>0</v>
      </c>
      <c r="C190" s="32"/>
      <c r="E190" s="65"/>
      <c r="S190" s="51"/>
      <c r="V190" s="51"/>
      <c r="W190" s="51"/>
      <c r="AH190" s="23" t="e">
        <f t="shared" si="5"/>
        <v>#VALUE!</v>
      </c>
      <c r="AI190" s="23" t="e">
        <f t="array" ref="AI190">_xlfn.TEXTSPLIT(AH190,"_")</f>
        <v>#VALUE!</v>
      </c>
    </row>
    <row r="191" spans="1:35" ht="60" customHeight="1">
      <c r="A191" s="78">
        <f t="shared" si="4"/>
        <v>0</v>
      </c>
      <c r="C191" s="32"/>
      <c r="E191" s="65"/>
      <c r="S191" s="51"/>
      <c r="V191" s="51"/>
      <c r="W191" s="51"/>
      <c r="AH191" s="23" t="e">
        <f t="shared" si="5"/>
        <v>#VALUE!</v>
      </c>
      <c r="AI191" s="23" t="e">
        <f t="array" ref="AI191">_xlfn.TEXTSPLIT(AH191,"_")</f>
        <v>#VALUE!</v>
      </c>
    </row>
    <row r="192" spans="1:35" ht="60" customHeight="1">
      <c r="A192" s="78">
        <f t="shared" si="4"/>
        <v>0</v>
      </c>
      <c r="C192" s="32"/>
      <c r="E192" s="65"/>
      <c r="S192" s="51"/>
      <c r="V192" s="51"/>
      <c r="W192" s="51"/>
      <c r="AH192" s="23" t="e">
        <f t="shared" si="5"/>
        <v>#VALUE!</v>
      </c>
      <c r="AI192" s="23" t="e">
        <f t="array" ref="AI192">_xlfn.TEXTSPLIT(AH192,"_")</f>
        <v>#VALUE!</v>
      </c>
    </row>
    <row r="193" spans="1:35" ht="60" customHeight="1">
      <c r="A193" s="78">
        <f t="shared" si="4"/>
        <v>0</v>
      </c>
      <c r="C193" s="32"/>
      <c r="E193" s="65"/>
      <c r="S193" s="51"/>
      <c r="V193" s="51"/>
      <c r="W193" s="51"/>
      <c r="AH193" s="23" t="e">
        <f t="shared" si="5"/>
        <v>#VALUE!</v>
      </c>
      <c r="AI193" s="23" t="e">
        <f t="array" ref="AI193">_xlfn.TEXTSPLIT(AH193,"_")</f>
        <v>#VALUE!</v>
      </c>
    </row>
    <row r="194" spans="1:35" ht="60" customHeight="1">
      <c r="A194" s="78">
        <f t="shared" si="4"/>
        <v>0</v>
      </c>
      <c r="C194" s="32"/>
      <c r="E194" s="65"/>
      <c r="S194" s="51"/>
      <c r="V194" s="51"/>
      <c r="W194" s="51"/>
      <c r="AH194" s="23" t="e">
        <f t="shared" si="5"/>
        <v>#VALUE!</v>
      </c>
      <c r="AI194" s="23" t="e">
        <f t="array" ref="AI194">_xlfn.TEXTSPLIT(AH194,"_")</f>
        <v>#VALUE!</v>
      </c>
    </row>
    <row r="195" spans="1:35" ht="60" customHeight="1">
      <c r="A195" s="78">
        <f t="shared" si="4"/>
        <v>0</v>
      </c>
      <c r="C195" s="32"/>
      <c r="E195" s="65"/>
      <c r="S195" s="51"/>
      <c r="V195" s="51"/>
      <c r="W195" s="51"/>
      <c r="AH195" s="23" t="e">
        <f t="shared" si="5"/>
        <v>#VALUE!</v>
      </c>
      <c r="AI195" s="23" t="e">
        <f t="array" ref="AI195">_xlfn.TEXTSPLIT(AH195,"_")</f>
        <v>#VALUE!</v>
      </c>
    </row>
    <row r="196" spans="1:35" ht="60" customHeight="1">
      <c r="A196" s="78">
        <f t="shared" si="4"/>
        <v>0</v>
      </c>
      <c r="C196" s="32"/>
      <c r="E196" s="65"/>
      <c r="S196" s="51"/>
      <c r="V196" s="51"/>
      <c r="W196" s="51"/>
      <c r="AH196" s="23" t="e">
        <f t="shared" si="5"/>
        <v>#VALUE!</v>
      </c>
      <c r="AI196" s="23" t="e">
        <f t="array" ref="AI196">_xlfn.TEXTSPLIT(AH196,"_")</f>
        <v>#VALUE!</v>
      </c>
    </row>
    <row r="197" spans="1:35" ht="60" customHeight="1">
      <c r="A197" s="78">
        <f t="shared" si="4"/>
        <v>0</v>
      </c>
      <c r="C197" s="32"/>
      <c r="E197" s="65"/>
      <c r="S197" s="51"/>
      <c r="V197" s="51"/>
      <c r="W197" s="51"/>
      <c r="AH197" s="23" t="e">
        <f t="shared" si="5"/>
        <v>#VALUE!</v>
      </c>
      <c r="AI197" s="23" t="e">
        <f t="array" ref="AI197">_xlfn.TEXTSPLIT(AH197,"_")</f>
        <v>#VALUE!</v>
      </c>
    </row>
    <row r="198" spans="1:35" ht="60" customHeight="1">
      <c r="A198" s="78">
        <f t="shared" si="4"/>
        <v>0</v>
      </c>
      <c r="C198" s="32"/>
      <c r="E198" s="65"/>
      <c r="S198" s="51"/>
      <c r="V198" s="51"/>
      <c r="W198" s="51"/>
      <c r="AH198" s="23" t="e">
        <f t="shared" si="5"/>
        <v>#VALUE!</v>
      </c>
      <c r="AI198" s="23" t="e">
        <f t="array" ref="AI198">_xlfn.TEXTSPLIT(AH198,"_")</f>
        <v>#VALUE!</v>
      </c>
    </row>
    <row r="199" spans="1:35" ht="60" customHeight="1">
      <c r="A199" s="78">
        <f t="shared" si="4"/>
        <v>0</v>
      </c>
      <c r="C199" s="32"/>
      <c r="E199" s="65"/>
      <c r="S199" s="51"/>
      <c r="V199" s="51"/>
      <c r="W199" s="51"/>
      <c r="AH199" s="23" t="e">
        <f t="shared" si="5"/>
        <v>#VALUE!</v>
      </c>
      <c r="AI199" s="23" t="e">
        <f t="array" ref="AI199">_xlfn.TEXTSPLIT(AH199,"_")</f>
        <v>#VALUE!</v>
      </c>
    </row>
    <row r="200" spans="1:35" ht="60" customHeight="1">
      <c r="A200" s="78">
        <f t="shared" si="4"/>
        <v>0</v>
      </c>
      <c r="C200" s="32"/>
      <c r="E200" s="65"/>
      <c r="S200" s="51"/>
      <c r="V200" s="51"/>
      <c r="W200" s="51"/>
      <c r="AH200" s="23" t="e">
        <f t="shared" si="5"/>
        <v>#VALUE!</v>
      </c>
      <c r="AI200" s="23" t="e">
        <f t="array" ref="AI200">_xlfn.TEXTSPLIT(AH200,"_")</f>
        <v>#VALUE!</v>
      </c>
    </row>
    <row r="201" spans="1:35" ht="60" customHeight="1">
      <c r="A201" s="78">
        <f t="shared" si="4"/>
        <v>0</v>
      </c>
      <c r="C201" s="32"/>
      <c r="E201" s="65"/>
      <c r="S201" s="51"/>
      <c r="V201" s="51"/>
      <c r="W201" s="51"/>
    </row>
    <row r="202" spans="1:35" ht="60" customHeight="1">
      <c r="A202" s="78">
        <f t="shared" si="4"/>
        <v>0</v>
      </c>
      <c r="C202" s="32"/>
      <c r="E202" s="65"/>
      <c r="S202" s="51"/>
      <c r="V202" s="51"/>
      <c r="W202" s="51"/>
    </row>
    <row r="203" spans="1:35" ht="60" customHeight="1">
      <c r="A203" s="78">
        <f>D203</f>
        <v>0</v>
      </c>
      <c r="C203" s="32"/>
      <c r="E203" s="65"/>
      <c r="S203" s="51"/>
      <c r="V203" s="51"/>
      <c r="W203" s="51"/>
    </row>
    <row r="204" spans="1:35" ht="60" customHeight="1">
      <c r="A204" s="78">
        <f>D204</f>
        <v>0</v>
      </c>
      <c r="C204" s="32"/>
      <c r="E204" s="65"/>
      <c r="S204" s="51"/>
      <c r="V204" s="51"/>
      <c r="W204" s="51"/>
    </row>
  </sheetData>
  <mergeCells count="17">
    <mergeCell ref="AA8:AF8"/>
    <mergeCell ref="X8:Y9"/>
    <mergeCell ref="Q3:R3"/>
    <mergeCell ref="G8:I8"/>
    <mergeCell ref="K8:N8"/>
    <mergeCell ref="O8:P8"/>
    <mergeCell ref="G7:I7"/>
    <mergeCell ref="J7:P7"/>
    <mergeCell ref="G3:I4"/>
    <mergeCell ref="J3:P4"/>
    <mergeCell ref="G5:I6"/>
    <mergeCell ref="J5:P6"/>
    <mergeCell ref="D1:F8"/>
    <mergeCell ref="Q1:R1"/>
    <mergeCell ref="Q2:R2"/>
    <mergeCell ref="G1:I2"/>
    <mergeCell ref="J1:P2"/>
  </mergeCells>
  <conditionalFormatting sqref="C11:C204 V11:W204 E11:E204 S11:S204 B10:W10">
    <cfRule type="expression" dxfId="19" priority="3" stopIfTrue="1">
      <formula>$J10="PREPA"</formula>
    </cfRule>
  </conditionalFormatting>
  <conditionalFormatting sqref="L10">
    <cfRule type="expression" dxfId="18" priority="4" stopIfTrue="1">
      <formula>$J10="PREPA"</formula>
    </cfRule>
  </conditionalFormatting>
  <conditionalFormatting sqref="K10">
    <cfRule type="expression" dxfId="17" priority="5" stopIfTrue="1">
      <formula>$J10="PREPA"</formula>
    </cfRule>
  </conditionalFormatting>
  <conditionalFormatting sqref="M10">
    <cfRule type="expression" dxfId="16" priority="2" stopIfTrue="1">
      <formula>$J10="PREPA"</formula>
    </cfRule>
  </conditionalFormatting>
  <conditionalFormatting sqref="Q5">
    <cfRule type="expression" dxfId="15" priority="6" stopIfTrue="1">
      <formula>$J10="PREPA"</formula>
    </cfRule>
  </conditionalFormatting>
  <conditionalFormatting sqref="F10">
    <cfRule type="expression" dxfId="14" priority="7" stopIfTrue="1">
      <formula>$J10="PREPA"</formula>
    </cfRule>
  </conditionalFormatting>
  <conditionalFormatting sqref="AB13">
    <cfRule type="expression" dxfId="13" priority="1" stopIfTrue="1">
      <formula>$J3="PREPA"</formula>
    </cfRule>
  </conditionalFormatting>
  <printOptions horizontalCentered="1"/>
  <pageMargins left="3.937007874015748E-2" right="3.937007874015748E-2" top="3.937007874015748E-2" bottom="3.937007874015748E-2" header="0.31496062992125984" footer="0.31496062992125984"/>
  <pageSetup paperSize="8" scale="95"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D3942-0E72-4834-BDFE-4C60FE7993D4}">
  <sheetPr codeName="Feuil19"/>
  <dimension ref="B1:Y43"/>
  <sheetViews>
    <sheetView zoomScale="70" zoomScaleNormal="70" workbookViewId="0">
      <selection activeCell="B6" sqref="B6"/>
    </sheetView>
  </sheetViews>
  <sheetFormatPr defaultColWidth="11.453125" defaultRowHeight="60" customHeight="1"/>
  <cols>
    <col min="1" max="1" width="8.984375E-2" style="23" customWidth="1"/>
    <col min="2" max="2" width="23" style="23" customWidth="1"/>
    <col min="3" max="3" width="18.36328125" style="23" customWidth="1"/>
    <col min="4" max="4" width="24" style="23" customWidth="1"/>
    <col min="5" max="8" width="15.90625" style="23" customWidth="1"/>
    <col min="9" max="9" width="8.984375E-2" style="23" customWidth="1"/>
    <col min="10" max="10" width="9.08984375" style="23" customWidth="1"/>
    <col min="11" max="11" width="13.90625" style="23" customWidth="1"/>
    <col min="12" max="12" width="5" style="23" bestFit="1" customWidth="1"/>
    <col min="13" max="13" width="9.08984375" style="23" customWidth="1"/>
    <col min="14" max="14" width="20.6328125" style="23" customWidth="1"/>
    <col min="15" max="15" width="20.6328125" style="28" customWidth="1"/>
    <col min="16" max="17" width="20.6328125" style="23" customWidth="1"/>
    <col min="18" max="16384" width="11.453125" style="23"/>
  </cols>
  <sheetData>
    <row r="1" spans="2:25" ht="20.149999999999999" customHeight="1">
      <c r="B1" s="21"/>
      <c r="C1" s="22"/>
      <c r="D1" s="21"/>
      <c r="E1" s="21"/>
      <c r="F1" s="21"/>
      <c r="G1" s="126" t="str">
        <f>VLOOKUP(": Date",Tp_LANGUAGE!$A$2:$Z$1001,MATCH(Tp_Global!$J$6,Tp_LANGUAGE!$A$1:$Z$1,0),FALSE)</f>
        <v>: Date</v>
      </c>
      <c r="H1" s="126"/>
      <c r="I1" s="40"/>
    </row>
    <row r="2" spans="2:25" ht="20.149999999999999" customHeight="1">
      <c r="B2" s="21"/>
      <c r="C2" s="22"/>
      <c r="D2" s="21"/>
      <c r="E2" s="21"/>
      <c r="F2" s="24"/>
      <c r="G2" s="126" t="str">
        <f>VLOOKUP(": Ref Company",Tp_LANGUAGE!$A$2:$Z$1001,MATCH(Tp_Global!$J$6,Tp_LANGUAGE!$A$1:$Z$1,0),FALSE)</f>
        <v>: Ref Company</v>
      </c>
      <c r="H2" s="126"/>
      <c r="I2" s="40"/>
      <c r="O2" s="23"/>
    </row>
    <row r="3" spans="2:25" ht="20.149999999999999" customHeight="1">
      <c r="B3" s="21"/>
      <c r="C3" s="22"/>
      <c r="D3" s="21"/>
      <c r="E3" s="21"/>
      <c r="F3" s="24"/>
      <c r="G3" s="126" t="str">
        <f>VLOOKUP(": Ref Customer",Tp_LANGUAGE!$A$2:$Z$1001,MATCH(Tp_Global!$J$6,Tp_LANGUAGE!$A$1:$Z$1,0),FALSE)</f>
        <v>: Ref Customer</v>
      </c>
      <c r="H3" s="126"/>
      <c r="I3" s="40"/>
      <c r="O3" s="23"/>
    </row>
    <row r="4" spans="2:25" ht="11.25" customHeight="1">
      <c r="B4" s="21"/>
      <c r="C4" s="22"/>
      <c r="D4" s="21"/>
      <c r="E4" s="21"/>
      <c r="F4" s="24"/>
      <c r="G4" s="24"/>
      <c r="H4" s="24"/>
      <c r="O4" s="23"/>
      <c r="P4" s="40"/>
    </row>
    <row r="5" spans="2:25" ht="11.25" customHeight="1">
      <c r="B5" s="21"/>
      <c r="C5" s="22"/>
      <c r="D5" s="21"/>
      <c r="E5" s="21"/>
      <c r="F5" s="24"/>
      <c r="G5" s="24"/>
      <c r="H5" s="24"/>
      <c r="O5" s="23"/>
      <c r="P5" s="40"/>
    </row>
    <row r="6" spans="2:25" ht="45">
      <c r="B6" s="21"/>
      <c r="C6" s="201" t="str">
        <f>VLOOKUP("MULTIBODIES PARTLIST",Tp_LANGUAGE!$A$2:$Z$1001,MATCH(Tp_Global!$J$6,Tp_LANGUAGE!$A$1:$Z$1,0),FALSE)</f>
        <v>MULTIBODIES PARTLIST</v>
      </c>
      <c r="D6" s="201"/>
      <c r="E6" s="201"/>
      <c r="F6" s="201"/>
      <c r="G6" s="201"/>
      <c r="I6" s="26"/>
      <c r="O6" s="23"/>
    </row>
    <row r="7" spans="2:25" ht="60" customHeight="1">
      <c r="B7" s="58"/>
      <c r="C7" s="58"/>
      <c r="D7" s="58"/>
      <c r="E7" s="58"/>
      <c r="F7" s="58"/>
      <c r="G7" s="58"/>
      <c r="H7" s="58"/>
      <c r="I7" s="27"/>
      <c r="O7" s="23"/>
    </row>
    <row r="8" spans="2:25" ht="60" customHeight="1">
      <c r="B8" s="206" t="s">
        <v>233</v>
      </c>
      <c r="C8" s="207"/>
      <c r="D8" s="212"/>
      <c r="E8" s="213"/>
      <c r="F8" s="214"/>
      <c r="G8" s="210" t="s">
        <v>243</v>
      </c>
      <c r="H8" s="210"/>
      <c r="I8" s="27"/>
      <c r="O8" s="23"/>
    </row>
    <row r="9" spans="2:25" ht="60" customHeight="1">
      <c r="B9" s="208"/>
      <c r="C9" s="209"/>
      <c r="D9" s="210" t="s">
        <v>232</v>
      </c>
      <c r="E9" s="210"/>
      <c r="F9" s="210"/>
      <c r="G9" s="210"/>
      <c r="H9" s="210"/>
      <c r="I9" s="27"/>
      <c r="O9" s="23"/>
      <c r="W9" s="49"/>
      <c r="Y9" s="49" t="s">
        <v>195</v>
      </c>
    </row>
    <row r="10" spans="2:25" ht="60" customHeight="1" thickBot="1">
      <c r="B10" s="208"/>
      <c r="C10" s="209"/>
      <c r="D10" s="211"/>
      <c r="E10" s="211"/>
      <c r="F10" s="211"/>
      <c r="G10" s="211"/>
      <c r="H10" s="211"/>
      <c r="I10" s="37"/>
      <c r="R10" s="49"/>
      <c r="S10" s="49"/>
      <c r="T10" s="49" t="s">
        <v>195</v>
      </c>
      <c r="U10" s="49"/>
      <c r="V10" s="49"/>
    </row>
    <row r="11" spans="2:25" ht="60" customHeight="1">
      <c r="B11" s="202" t="str">
        <f>VLOOKUP("Picture",Tp_LANGUAGE!$A$2:$Z$1001,MATCH(Tp_Global!$J$6,Tp_LANGUAGE!$A$1:$Z$1,0),FALSE)</f>
        <v>Picture</v>
      </c>
      <c r="C11" s="202" t="str">
        <f>VLOOKUP("Part",Tp_LANGUAGE!$A$2:$Z$1001,MATCH(Tp_Global!$J$6,Tp_LANGUAGE!$A$1:$Z$1,0),FALSE)</f>
        <v>Part</v>
      </c>
      <c r="D11" s="204" t="str">
        <f>VLOOKUP("Material",Tp_LANGUAGE!$A$2:$Z$1001,MATCH(Tp_Global!$J$6,Tp_LANGUAGE!$A$1:$Z$1,0),FALSE)</f>
        <v>Material</v>
      </c>
      <c r="E11" s="215" t="str">
        <f>VLOOKUP("Dimensions (mm)",Tp_LANGUAGE!$A$2:$Z$1001,MATCH(Tp_Global!$J$6,Tp_LANGUAGE!$A$1:$Z$1,0),FALSE)</f>
        <v>Dimensions (mm)</v>
      </c>
      <c r="F11" s="216"/>
      <c r="G11" s="217"/>
      <c r="H11" s="218" t="str">
        <f>VLOOKUP("Qty (U)",Tp_LANGUAGE!$A$2:$Z$1001,MATCH(Tp_Global!$J$6,Tp_LANGUAGE!$A$1:$Z$1,0),FALSE)</f>
        <v>Qty (U)</v>
      </c>
      <c r="I11" s="50"/>
      <c r="K11" s="163" t="s">
        <v>55</v>
      </c>
      <c r="L11" s="163"/>
      <c r="T11" s="75" t="s">
        <v>241</v>
      </c>
    </row>
    <row r="12" spans="2:25" ht="60" customHeight="1" thickBot="1">
      <c r="B12" s="203"/>
      <c r="C12" s="203"/>
      <c r="D12" s="205"/>
      <c r="E12" s="29" t="str">
        <f>VLOOKUP("L",Tp_LANGUAGE!$A$2:$Z$1001,MATCH(Tp_Global!$J$6,Tp_LANGUAGE!$A$1:$Z$1,0),FALSE)</f>
        <v>L</v>
      </c>
      <c r="F12" s="30" t="str">
        <f>VLOOKUP("W",Tp_LANGUAGE!$A$2:$Z$1001,MATCH(Tp_Global!$J$6,Tp_LANGUAGE!$A$1:$Z$1,0),FALSE)</f>
        <v>W</v>
      </c>
      <c r="G12" s="31" t="str">
        <f>VLOOKUP("T",Tp_LANGUAGE!$A$2:$Z$1001,MATCH(Tp_Global!$J$6,Tp_LANGUAGE!$A$1:$Z$1,0),FALSE)</f>
        <v>T</v>
      </c>
      <c r="H12" s="219"/>
      <c r="I12" s="50"/>
      <c r="K12" s="163"/>
      <c r="L12" s="163"/>
      <c r="T12" s="75" t="s">
        <v>240</v>
      </c>
    </row>
    <row r="13" spans="2:25" ht="60" customHeight="1">
      <c r="B13" s="32" t="s">
        <v>239</v>
      </c>
      <c r="C13" s="32" t="s">
        <v>234</v>
      </c>
      <c r="D13" s="32" t="s">
        <v>238</v>
      </c>
      <c r="E13" s="32" t="s">
        <v>235</v>
      </c>
      <c r="F13" s="32" t="s">
        <v>236</v>
      </c>
      <c r="G13" s="32" t="s">
        <v>237</v>
      </c>
      <c r="H13" s="32" t="s">
        <v>242</v>
      </c>
      <c r="I13" s="51"/>
      <c r="K13" s="32" t="s">
        <v>170</v>
      </c>
      <c r="L13" s="32">
        <v>1</v>
      </c>
      <c r="T13" s="75" t="s">
        <v>244</v>
      </c>
    </row>
    <row r="14" spans="2:25" ht="60" customHeight="1">
      <c r="G14" s="34"/>
      <c r="K14" s="32" t="s">
        <v>171</v>
      </c>
      <c r="L14" s="32">
        <v>0</v>
      </c>
    </row>
    <row r="15" spans="2:25" ht="60" customHeight="1">
      <c r="K15" s="32" t="s">
        <v>183</v>
      </c>
      <c r="L15" s="32">
        <v>1</v>
      </c>
    </row>
    <row r="17" spans="15:15" ht="60" customHeight="1">
      <c r="O17" s="23"/>
    </row>
    <row r="18" spans="15:15" ht="60" customHeight="1">
      <c r="O18" s="23"/>
    </row>
    <row r="19" spans="15:15" ht="60" customHeight="1">
      <c r="O19" s="23"/>
    </row>
    <row r="20" spans="15:15" ht="60" customHeight="1">
      <c r="O20" s="23"/>
    </row>
    <row r="21" spans="15:15" ht="60" customHeight="1">
      <c r="O21" s="23"/>
    </row>
    <row r="22" spans="15:15" ht="60" customHeight="1">
      <c r="O22" s="23"/>
    </row>
    <row r="23" spans="15:15" ht="60" customHeight="1">
      <c r="O23" s="23"/>
    </row>
    <row r="24" spans="15:15" ht="60" customHeight="1">
      <c r="O24" s="23"/>
    </row>
    <row r="25" spans="15:15" ht="60" customHeight="1">
      <c r="O25" s="23"/>
    </row>
    <row r="26" spans="15:15" ht="60" customHeight="1">
      <c r="O26" s="23"/>
    </row>
    <row r="27" spans="15:15" ht="60" customHeight="1">
      <c r="O27" s="23"/>
    </row>
    <row r="28" spans="15:15" ht="60" customHeight="1">
      <c r="O28" s="23"/>
    </row>
    <row r="29" spans="15:15" ht="60" customHeight="1">
      <c r="O29" s="23"/>
    </row>
    <row r="30" spans="15:15" ht="60" customHeight="1">
      <c r="O30" s="23"/>
    </row>
    <row r="31" spans="15:15" ht="60" customHeight="1">
      <c r="O31" s="23"/>
    </row>
    <row r="32" spans="15:15" ht="60" customHeight="1">
      <c r="O32" s="23"/>
    </row>
    <row r="33" spans="15:15" ht="60" customHeight="1">
      <c r="O33" s="23"/>
    </row>
    <row r="34" spans="15:15" ht="60" customHeight="1">
      <c r="O34" s="23"/>
    </row>
    <row r="35" spans="15:15" ht="60" customHeight="1">
      <c r="O35" s="23"/>
    </row>
    <row r="36" spans="15:15" ht="60" customHeight="1">
      <c r="O36" s="23"/>
    </row>
    <row r="37" spans="15:15" ht="60" customHeight="1">
      <c r="O37" s="23"/>
    </row>
    <row r="38" spans="15:15" ht="60" customHeight="1">
      <c r="O38" s="23"/>
    </row>
    <row r="39" spans="15:15" ht="60" customHeight="1">
      <c r="O39" s="23"/>
    </row>
    <row r="40" spans="15:15" ht="60" customHeight="1">
      <c r="O40" s="23"/>
    </row>
    <row r="41" spans="15:15" ht="60" customHeight="1">
      <c r="O41" s="23"/>
    </row>
    <row r="42" spans="15:15" ht="60" customHeight="1">
      <c r="O42" s="23"/>
    </row>
    <row r="43" spans="15:15" ht="60" customHeight="1">
      <c r="O43" s="23"/>
    </row>
  </sheetData>
  <mergeCells count="14">
    <mergeCell ref="B11:B12"/>
    <mergeCell ref="C11:C12"/>
    <mergeCell ref="D11:D12"/>
    <mergeCell ref="B8:C10"/>
    <mergeCell ref="D9:H10"/>
    <mergeCell ref="D8:F8"/>
    <mergeCell ref="G8:H8"/>
    <mergeCell ref="E11:G11"/>
    <mergeCell ref="H11:H12"/>
    <mergeCell ref="G1:H1"/>
    <mergeCell ref="G2:H2"/>
    <mergeCell ref="K11:L12"/>
    <mergeCell ref="G3:H3"/>
    <mergeCell ref="C6:G6"/>
  </mergeCells>
  <conditionalFormatting sqref="I13">
    <cfRule type="expression" dxfId="12" priority="32" stopIfTrue="1">
      <formula>#REF!="PREPA"</formula>
    </cfRule>
  </conditionalFormatting>
  <printOptions horizontalCentered="1"/>
  <pageMargins left="3.937007874015748E-2" right="3.937007874015748E-2" top="3.937007874015748E-2" bottom="3.937007874015748E-2" header="0.31496062992125984" footer="0.31496062992125984"/>
  <pageSetup paperSize="8"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94D6B-921F-45B1-B7B9-F7F211AD943A}">
  <sheetPr codeName="Feuil20"/>
  <dimension ref="A1:AX70"/>
  <sheetViews>
    <sheetView zoomScale="70" zoomScaleNormal="70" workbookViewId="0"/>
  </sheetViews>
  <sheetFormatPr defaultColWidth="11.453125" defaultRowHeight="20.149999999999999" customHeight="1" outlineLevelRow="1" outlineLevelCol="1"/>
  <cols>
    <col min="1" max="1" width="5.6328125" style="23" customWidth="1"/>
    <col min="2" max="4" width="5.6328125" style="59" hidden="1" customWidth="1" outlineLevel="1"/>
    <col min="5" max="5" width="25.6328125" style="23" customWidth="1" collapsed="1"/>
    <col min="6" max="6" width="15.6328125" style="23" customWidth="1"/>
    <col min="7" max="7" width="23.08984375" style="23" customWidth="1"/>
    <col min="8" max="8" width="14" style="23" bestFit="1" customWidth="1"/>
    <col min="9" max="9" width="11.90625" style="23" customWidth="1"/>
    <col min="10" max="12" width="7.6328125" style="23" customWidth="1"/>
    <col min="13" max="13" width="5.6328125" style="23" customWidth="1"/>
    <col min="14" max="21" width="15.6328125" style="23" customWidth="1"/>
    <col min="22" max="22" width="5.6328125" style="23" customWidth="1"/>
    <col min="23" max="23" width="13.6328125" style="23" customWidth="1"/>
    <col min="24" max="24" width="35.90625" style="23" bestFit="1" customWidth="1"/>
    <col min="25" max="25" width="5" style="23" bestFit="1" customWidth="1"/>
    <col min="26" max="26" width="9.08984375" style="23" customWidth="1"/>
    <col min="27" max="27" width="37.54296875" style="23" customWidth="1"/>
    <col min="28" max="28" width="54.36328125" style="23" bestFit="1" customWidth="1"/>
    <col min="29" max="29" width="58.36328125" style="23" bestFit="1" customWidth="1"/>
    <col min="30" max="30" width="51.453125" style="23" bestFit="1" customWidth="1"/>
    <col min="31" max="31" width="37.54296875" style="23" customWidth="1"/>
    <col min="32" max="16384" width="11.453125" style="23"/>
  </cols>
  <sheetData>
    <row r="1" spans="1:50" ht="20.149999999999999" customHeight="1">
      <c r="E1" s="21"/>
      <c r="F1" s="22"/>
      <c r="G1" s="21"/>
      <c r="H1" s="21"/>
      <c r="I1" s="21"/>
      <c r="J1" s="21"/>
      <c r="K1" s="21"/>
      <c r="L1" s="21"/>
      <c r="M1" s="21"/>
      <c r="N1" s="21"/>
      <c r="P1" s="261"/>
      <c r="Q1" s="261"/>
      <c r="R1" s="261"/>
      <c r="S1" s="261"/>
      <c r="T1" s="126" t="str">
        <f>VLOOKUP(": Date",Tp_LANGUAGE!$A$2:$Z$1001,MATCH(Tp_Global!$J$6,Tp_LANGUAGE!$A$1:$Z$1,0),FALSE)</f>
        <v>: Date</v>
      </c>
      <c r="U1" s="126"/>
      <c r="V1" s="40"/>
    </row>
    <row r="2" spans="1:50" ht="20.149999999999999" customHeight="1">
      <c r="E2" s="21"/>
      <c r="F2" s="22"/>
      <c r="G2" s="21"/>
      <c r="H2" s="21"/>
      <c r="I2" s="21"/>
      <c r="J2" s="21"/>
      <c r="K2" s="24"/>
      <c r="L2" s="24"/>
      <c r="M2" s="24"/>
      <c r="N2" s="24"/>
      <c r="P2" s="261"/>
      <c r="Q2" s="261"/>
      <c r="R2" s="261"/>
      <c r="S2" s="261"/>
      <c r="T2" s="126" t="str">
        <f>VLOOKUP(": Ref Company",Tp_LANGUAGE!$A$2:$Z$1001,MATCH(Tp_Global!$J$6,Tp_LANGUAGE!$A$1:$Z$1,0),FALSE)</f>
        <v>: Ref Company</v>
      </c>
      <c r="U2" s="126"/>
      <c r="V2" s="40"/>
    </row>
    <row r="3" spans="1:50" ht="20.149999999999999" customHeight="1">
      <c r="E3" s="21"/>
      <c r="F3" s="22"/>
      <c r="G3" s="21"/>
      <c r="H3" s="21"/>
      <c r="I3" s="21"/>
      <c r="J3" s="21"/>
      <c r="K3" s="24"/>
      <c r="L3" s="24"/>
      <c r="M3" s="24"/>
      <c r="N3" s="24"/>
      <c r="P3" s="261"/>
      <c r="Q3" s="261"/>
      <c r="R3" s="261"/>
      <c r="S3" s="261"/>
      <c r="T3" s="126" t="str">
        <f>VLOOKUP(": Ref Customer",Tp_LANGUAGE!$A$2:$Z$1001,MATCH(Tp_Global!$J$6,Tp_LANGUAGE!$A$1:$Z$1,0),FALSE)</f>
        <v>: Ref Customer</v>
      </c>
      <c r="U3" s="126"/>
      <c r="V3" s="40"/>
    </row>
    <row r="4" spans="1:50" ht="20.149999999999999" customHeight="1">
      <c r="E4" s="21"/>
      <c r="F4" s="22"/>
      <c r="G4" s="21"/>
      <c r="H4" s="21"/>
      <c r="I4" s="21"/>
      <c r="J4" s="21"/>
      <c r="K4" s="24"/>
      <c r="L4" s="24"/>
      <c r="M4" s="24"/>
      <c r="N4" s="24"/>
      <c r="Q4" s="25"/>
      <c r="R4" s="25"/>
      <c r="S4" s="25"/>
      <c r="T4" s="40"/>
    </row>
    <row r="5" spans="1:50" ht="45">
      <c r="A5" s="69" t="s">
        <v>384</v>
      </c>
      <c r="E5" s="21"/>
      <c r="F5" s="22"/>
      <c r="H5" s="262" t="str">
        <f>VLOOKUP("LISTINGS BY PRODUCT",Tp_LANGUAGE!$A$2:$Z$1001,MATCH(Tp_Global!$J$6,Tp_LANGUAGE!$A$1:$Z$1,0),FALSE)</f>
        <v>LISTINGS BY PRODUCT</v>
      </c>
      <c r="I5" s="262"/>
      <c r="J5" s="262"/>
      <c r="K5" s="262"/>
      <c r="L5" s="262"/>
      <c r="M5" s="262"/>
      <c r="N5" s="262"/>
      <c r="O5" s="262"/>
      <c r="P5" s="262"/>
      <c r="Q5" s="262"/>
      <c r="R5" s="262"/>
      <c r="S5" s="262"/>
      <c r="T5" s="21"/>
      <c r="U5" s="26"/>
      <c r="V5" s="26" t="s">
        <v>384</v>
      </c>
    </row>
    <row r="6" spans="1:50" ht="20.149999999999999" customHeight="1">
      <c r="E6" s="263"/>
      <c r="F6" s="263"/>
      <c r="G6" s="263"/>
      <c r="H6" s="263"/>
      <c r="I6" s="263"/>
      <c r="J6" s="263"/>
      <c r="K6" s="263"/>
      <c r="L6" s="263"/>
      <c r="M6" s="263"/>
      <c r="N6" s="263"/>
      <c r="O6" s="263"/>
      <c r="P6" s="263"/>
      <c r="Q6" s="27"/>
      <c r="R6" s="27"/>
      <c r="S6" s="27"/>
      <c r="T6" s="27"/>
      <c r="U6" s="27"/>
      <c r="V6" s="27"/>
    </row>
    <row r="7" spans="1:50" ht="20.149999999999999" customHeight="1">
      <c r="E7" s="58"/>
      <c r="F7" s="58"/>
      <c r="G7" s="58"/>
      <c r="H7" s="58"/>
      <c r="I7" s="58"/>
      <c r="J7" s="58"/>
      <c r="K7" s="58"/>
      <c r="L7" s="58"/>
      <c r="M7" s="58"/>
      <c r="N7" s="58"/>
      <c r="O7" s="58"/>
      <c r="P7" s="58"/>
      <c r="Q7" s="27"/>
      <c r="R7" s="27"/>
      <c r="S7" s="27"/>
      <c r="T7" s="27"/>
      <c r="U7" s="27"/>
      <c r="V7" s="27"/>
    </row>
    <row r="8" spans="1:50" ht="20.149999999999999" hidden="1" customHeight="1" outlineLevel="1" thickBot="1">
      <c r="B8" s="59">
        <v>1</v>
      </c>
      <c r="E8" s="58"/>
      <c r="F8" s="58"/>
      <c r="G8" s="58"/>
      <c r="H8" s="58"/>
      <c r="I8" s="58"/>
      <c r="J8" s="58"/>
      <c r="K8" s="58"/>
      <c r="L8" s="58"/>
      <c r="M8" s="58"/>
      <c r="N8" s="58"/>
      <c r="O8" s="58"/>
      <c r="P8" s="58"/>
      <c r="Q8" s="21"/>
      <c r="R8" s="21"/>
      <c r="U8" s="37"/>
      <c r="V8" s="37"/>
    </row>
    <row r="9" spans="1:50" ht="20.149999999999999" hidden="1" customHeight="1" outlineLevel="1" thickBot="1">
      <c r="B9" s="59">
        <v>1</v>
      </c>
      <c r="E9" s="264" t="str">
        <f>VLOOKUP("Hardwares",Tp_LANGUAGE!$A$2:$Z$1001,MATCH(Tp_Global!$J$6,Tp_LANGUAGE!$A$1:$Z$1,0),FALSE)</f>
        <v>Hardwares</v>
      </c>
      <c r="F9" s="265"/>
      <c r="G9" s="265"/>
      <c r="H9" s="265"/>
      <c r="I9" s="265"/>
      <c r="J9" s="265"/>
      <c r="K9" s="265"/>
      <c r="L9" s="265"/>
      <c r="M9" s="265"/>
      <c r="N9" s="265"/>
      <c r="O9" s="265"/>
      <c r="P9" s="265"/>
      <c r="Q9" s="265"/>
      <c r="R9" s="265"/>
      <c r="S9" s="265"/>
      <c r="T9" s="265"/>
      <c r="U9" s="266"/>
      <c r="V9" s="37"/>
      <c r="AF9" s="49" t="s">
        <v>250</v>
      </c>
      <c r="AG9" s="49" t="s">
        <v>255</v>
      </c>
      <c r="AI9" s="49" t="s">
        <v>278</v>
      </c>
      <c r="AJ9" s="49" t="s">
        <v>278</v>
      </c>
      <c r="AK9" s="49"/>
      <c r="AL9" s="49" t="s">
        <v>195</v>
      </c>
      <c r="AM9" s="49" t="s">
        <v>195</v>
      </c>
      <c r="AN9" s="49" t="s">
        <v>315</v>
      </c>
      <c r="AO9" s="49" t="s">
        <v>326</v>
      </c>
      <c r="AP9" s="49" t="s">
        <v>346</v>
      </c>
      <c r="AQ9" s="49" t="s">
        <v>346</v>
      </c>
      <c r="AR9" s="49"/>
      <c r="AS9" s="49" t="s">
        <v>195</v>
      </c>
      <c r="AT9" s="49" t="s">
        <v>195</v>
      </c>
      <c r="AU9" s="49" t="s">
        <v>383</v>
      </c>
      <c r="AV9" s="49" t="s">
        <v>278</v>
      </c>
      <c r="AX9" s="49" t="s">
        <v>195</v>
      </c>
    </row>
    <row r="10" spans="1:50" ht="20.149999999999999" hidden="1" customHeight="1" outlineLevel="1">
      <c r="B10" s="59">
        <v>1</v>
      </c>
      <c r="E10" s="228" t="str">
        <f>VLOOKUP("Picture",Tp_LANGUAGE!$A$2:$Z$1001,MATCH(Tp_Global!$J$6,Tp_LANGUAGE!$A$1:$Z$1,0),FALSE)</f>
        <v>Picture</v>
      </c>
      <c r="F10" s="228" t="str">
        <f>VLOOKUP("Name",Tp_LANGUAGE!$A$2:$Z$1001,MATCH(Tp_Global!$J$6,Tp_LANGUAGE!$A$1:$Z$1,0),FALSE)</f>
        <v>Name</v>
      </c>
      <c r="G10" s="229"/>
      <c r="H10" s="259"/>
      <c r="I10" s="229" t="str">
        <f>VLOOKUP("Supplier",Tp_LANGUAGE!$A$2:$Z$1001,MATCH(Tp_Global!$J$6,Tp_LANGUAGE!$A$1:$Z$1,0),FALSE)</f>
        <v>Supplier</v>
      </c>
      <c r="J10" s="229"/>
      <c r="K10" s="229"/>
      <c r="L10" s="229"/>
      <c r="M10" s="228" t="str">
        <f>VLOOKUP("Supplier Reference",Tp_LANGUAGE!$A$2:$Z$1001,MATCH(Tp_Global!$J$6,Tp_LANGUAGE!$A$1:$Z$1,0),FALSE)</f>
        <v>Supplier Reference</v>
      </c>
      <c r="N10" s="229"/>
      <c r="O10" s="259"/>
      <c r="P10" s="229" t="str">
        <f>VLOOKUP("Unit Cost",Tp_LANGUAGE!$A$2:$Z$1001,MATCH(Tp_Global!$J$6,Tp_LANGUAGE!$A$1:$Z$1,0),FALSE)</f>
        <v>Unit Cost</v>
      </c>
      <c r="Q10" s="229"/>
      <c r="R10" s="228" t="str">
        <f>VLOOKUP("Qty",Tp_LANGUAGE!$A$2:$Z$1001,MATCH(Tp_Global!$J$6,Tp_LANGUAGE!$A$1:$Z$1,0),FALSE)</f>
        <v>Qty</v>
      </c>
      <c r="S10" s="259"/>
      <c r="T10" s="229" t="str">
        <f>VLOOKUP("Total Cost",Tp_LANGUAGE!$A$2:$Z$1001,MATCH(Tp_Global!$J$6,Tp_LANGUAGE!$A$1:$Z$1,0),FALSE)</f>
        <v>Total Cost</v>
      </c>
      <c r="U10" s="259"/>
      <c r="V10" s="37"/>
      <c r="AF10" s="32" t="s">
        <v>249</v>
      </c>
      <c r="AG10" s="32" t="s">
        <v>251</v>
      </c>
      <c r="AI10" s="32" t="s">
        <v>259</v>
      </c>
      <c r="AJ10" s="32" t="s">
        <v>279</v>
      </c>
      <c r="AL10" s="32" t="s">
        <v>291</v>
      </c>
      <c r="AM10" s="32" t="s">
        <v>310</v>
      </c>
      <c r="AN10" s="32" t="s">
        <v>314</v>
      </c>
      <c r="AO10" s="32" t="s">
        <v>325</v>
      </c>
      <c r="AP10" s="32" t="s">
        <v>327</v>
      </c>
      <c r="AQ10" s="32" t="s">
        <v>347</v>
      </c>
      <c r="AS10" s="32" t="s">
        <v>359</v>
      </c>
      <c r="AT10" s="32" t="s">
        <v>378</v>
      </c>
      <c r="AU10" s="32" t="s">
        <v>382</v>
      </c>
      <c r="AV10" s="32" t="s">
        <v>266</v>
      </c>
      <c r="AX10" s="32" t="s">
        <v>298</v>
      </c>
    </row>
    <row r="11" spans="1:50" ht="20.149999999999999" hidden="1" customHeight="1" outlineLevel="1" thickBot="1">
      <c r="B11" s="59">
        <v>1</v>
      </c>
      <c r="E11" s="230"/>
      <c r="F11" s="230"/>
      <c r="G11" s="231"/>
      <c r="H11" s="260"/>
      <c r="I11" s="231"/>
      <c r="J11" s="231"/>
      <c r="K11" s="231"/>
      <c r="L11" s="231"/>
      <c r="M11" s="230"/>
      <c r="N11" s="231"/>
      <c r="O11" s="260"/>
      <c r="P11" s="231"/>
      <c r="Q11" s="231"/>
      <c r="R11" s="230"/>
      <c r="S11" s="260"/>
      <c r="T11" s="231"/>
      <c r="U11" s="260"/>
      <c r="AG11" s="32" t="s">
        <v>252</v>
      </c>
      <c r="AI11" s="32" t="s">
        <v>260</v>
      </c>
      <c r="AJ11" s="32" t="s">
        <v>280</v>
      </c>
      <c r="AL11" s="32" t="s">
        <v>292</v>
      </c>
      <c r="AM11" s="32" t="s">
        <v>311</v>
      </c>
      <c r="AP11" s="32" t="s">
        <v>328</v>
      </c>
      <c r="AQ11" s="32" t="s">
        <v>348</v>
      </c>
      <c r="AS11" s="32" t="s">
        <v>360</v>
      </c>
      <c r="AT11" s="32" t="s">
        <v>379</v>
      </c>
    </row>
    <row r="12" spans="1:50" ht="20.149999999999999" hidden="1" customHeight="1" outlineLevel="1">
      <c r="E12" s="63"/>
      <c r="F12" s="63"/>
      <c r="G12" s="63"/>
      <c r="H12" s="63"/>
      <c r="I12" s="63"/>
      <c r="J12" s="63"/>
      <c r="K12" s="63"/>
      <c r="L12" s="63"/>
      <c r="M12" s="63"/>
      <c r="N12" s="63"/>
      <c r="O12" s="63"/>
      <c r="P12" s="63"/>
      <c r="Q12" s="63"/>
      <c r="R12" s="63"/>
      <c r="S12" s="63"/>
      <c r="T12" s="63"/>
      <c r="U12" s="63"/>
      <c r="AG12" s="32"/>
      <c r="AI12" s="32"/>
      <c r="AJ12" s="32"/>
      <c r="AL12" s="32"/>
      <c r="AM12" s="32"/>
      <c r="AP12" s="32" t="s">
        <v>329</v>
      </c>
      <c r="AQ12" s="32" t="s">
        <v>349</v>
      </c>
      <c r="AS12" s="32" t="s">
        <v>361</v>
      </c>
      <c r="AT12" s="32" t="s">
        <v>380</v>
      </c>
    </row>
    <row r="13" spans="1:50" ht="20.149999999999999" hidden="1" customHeight="1" outlineLevel="1">
      <c r="E13" s="63"/>
      <c r="F13" s="63"/>
      <c r="G13" s="63"/>
      <c r="H13" s="63"/>
      <c r="I13" s="63"/>
      <c r="J13" s="63"/>
      <c r="K13" s="63"/>
      <c r="L13" s="63"/>
      <c r="M13" s="63"/>
      <c r="N13" s="63"/>
      <c r="O13" s="63"/>
      <c r="P13" s="63"/>
      <c r="Q13" s="63"/>
      <c r="R13" s="63"/>
      <c r="S13" s="63"/>
      <c r="T13" s="63"/>
      <c r="U13" s="63"/>
      <c r="AG13" s="32"/>
      <c r="AI13" s="32"/>
      <c r="AJ13" s="32"/>
      <c r="AL13" s="32"/>
      <c r="AM13" s="32"/>
      <c r="AP13" s="32" t="s">
        <v>330</v>
      </c>
      <c r="AQ13" s="32" t="s">
        <v>350</v>
      </c>
      <c r="AS13" s="32" t="s">
        <v>362</v>
      </c>
      <c r="AT13" s="32" t="s">
        <v>381</v>
      </c>
    </row>
    <row r="14" spans="1:50" ht="20.149999999999999" hidden="1" customHeight="1" outlineLevel="1">
      <c r="B14" s="59">
        <v>1</v>
      </c>
      <c r="E14" s="210" t="s">
        <v>319</v>
      </c>
      <c r="F14" s="210" t="s">
        <v>317</v>
      </c>
      <c r="G14" s="210"/>
      <c r="H14" s="210"/>
      <c r="I14" s="210" t="s">
        <v>223</v>
      </c>
      <c r="J14" s="210"/>
      <c r="K14" s="210"/>
      <c r="L14" s="210"/>
      <c r="M14" s="210" t="s">
        <v>318</v>
      </c>
      <c r="N14" s="210"/>
      <c r="O14" s="210"/>
      <c r="P14" s="210" t="s">
        <v>222</v>
      </c>
      <c r="Q14" s="210"/>
      <c r="R14" s="210" t="s">
        <v>227</v>
      </c>
      <c r="S14" s="210"/>
      <c r="T14" s="258" t="str">
        <f>VLOOKUP("R",Tp_LANGUAGE!$A$2:$Z$1001,MATCH(Tp_Global!$J$6,Tp_LANGUAGE!$A$1:$Z$1,0),FALSE)</f>
        <v>R</v>
      </c>
      <c r="U14" s="258"/>
      <c r="AG14" s="32" t="s">
        <v>253</v>
      </c>
      <c r="AI14" s="32" t="s">
        <v>261</v>
      </c>
      <c r="AJ14" s="32" t="s">
        <v>281</v>
      </c>
      <c r="AL14" s="32" t="s">
        <v>293</v>
      </c>
      <c r="AM14" s="32" t="s">
        <v>312</v>
      </c>
      <c r="AP14" s="32" t="s">
        <v>331</v>
      </c>
      <c r="AS14" s="32" t="s">
        <v>363</v>
      </c>
    </row>
    <row r="15" spans="1:50" ht="20.149999999999999" hidden="1" customHeight="1" outlineLevel="1">
      <c r="B15" s="59">
        <v>1</v>
      </c>
      <c r="E15" s="210"/>
      <c r="F15" s="210"/>
      <c r="G15" s="210"/>
      <c r="H15" s="210"/>
      <c r="I15" s="210"/>
      <c r="J15" s="210"/>
      <c r="K15" s="210"/>
      <c r="L15" s="210"/>
      <c r="M15" s="210"/>
      <c r="N15" s="210"/>
      <c r="O15" s="210"/>
      <c r="P15" s="210"/>
      <c r="Q15" s="210"/>
      <c r="R15" s="210"/>
      <c r="S15" s="210"/>
      <c r="T15" s="258"/>
      <c r="U15" s="258"/>
      <c r="AG15" s="32" t="s">
        <v>254</v>
      </c>
      <c r="AI15" s="32" t="s">
        <v>262</v>
      </c>
      <c r="AJ15" s="32" t="s">
        <v>282</v>
      </c>
      <c r="AL15" s="32" t="s">
        <v>294</v>
      </c>
      <c r="AM15" s="32" t="s">
        <v>313</v>
      </c>
      <c r="AP15" s="32" t="s">
        <v>332</v>
      </c>
      <c r="AS15" s="32" t="s">
        <v>364</v>
      </c>
    </row>
    <row r="16" spans="1:50" ht="20.149999999999999" hidden="1" customHeight="1" outlineLevel="1">
      <c r="E16" s="51"/>
      <c r="F16" s="51"/>
      <c r="G16" s="51"/>
      <c r="H16" s="51"/>
      <c r="I16" s="51"/>
      <c r="J16" s="51"/>
      <c r="K16" s="51"/>
      <c r="L16" s="51"/>
      <c r="M16" s="51"/>
      <c r="N16" s="51"/>
      <c r="O16" s="51"/>
      <c r="P16" s="51"/>
      <c r="Q16" s="51"/>
      <c r="R16" s="51"/>
      <c r="S16" s="51"/>
      <c r="T16" s="44"/>
      <c r="U16" s="44"/>
      <c r="AI16" s="32" t="s">
        <v>263</v>
      </c>
      <c r="AL16" s="32" t="s">
        <v>295</v>
      </c>
      <c r="AP16" s="32" t="s">
        <v>333</v>
      </c>
      <c r="AS16" s="32" t="s">
        <v>365</v>
      </c>
    </row>
    <row r="17" spans="2:45" ht="20.149999999999999" hidden="1" customHeight="1" outlineLevel="1" thickBot="1">
      <c r="E17" s="51"/>
      <c r="F17" s="51"/>
      <c r="G17" s="51"/>
      <c r="H17" s="51"/>
      <c r="I17" s="51"/>
      <c r="J17" s="51"/>
      <c r="K17" s="51"/>
      <c r="L17" s="51"/>
      <c r="M17" s="51"/>
      <c r="N17" s="51"/>
      <c r="O17" s="51"/>
      <c r="P17" s="51"/>
      <c r="Q17" s="51"/>
      <c r="R17" s="51"/>
      <c r="S17" s="51"/>
      <c r="T17" s="44"/>
      <c r="U17" s="44"/>
      <c r="AI17" s="62" t="s">
        <v>264</v>
      </c>
      <c r="AL17" s="62" t="s">
        <v>296</v>
      </c>
      <c r="AP17" s="32" t="s">
        <v>334</v>
      </c>
      <c r="AS17" s="32" t="s">
        <v>366</v>
      </c>
    </row>
    <row r="18" spans="2:45" ht="20.149999999999999" hidden="1" customHeight="1" outlineLevel="1" thickBot="1">
      <c r="B18" s="59">
        <v>1</v>
      </c>
      <c r="E18" s="51"/>
      <c r="F18" s="278" t="str">
        <f>VLOOKUP("Programs",Tp_LANGUAGE!$A$2:$Z$1001,MATCH(Tp_Global!$J$6,Tp_LANGUAGE!$A$1:$Z$1,0),FALSE)</f>
        <v>Programs</v>
      </c>
      <c r="G18" s="279"/>
      <c r="H18" s="279"/>
      <c r="I18" s="279"/>
      <c r="J18" s="279"/>
      <c r="K18" s="279"/>
      <c r="L18" s="279"/>
      <c r="M18" s="279"/>
      <c r="N18" s="279"/>
      <c r="O18" s="279"/>
      <c r="P18" s="279"/>
      <c r="Q18" s="279"/>
      <c r="R18" s="279"/>
      <c r="S18" s="279"/>
      <c r="T18" s="279"/>
      <c r="U18" s="280"/>
      <c r="AI18" s="51"/>
      <c r="AL18" s="51"/>
      <c r="AP18" s="32" t="s">
        <v>335</v>
      </c>
      <c r="AS18" s="32" t="s">
        <v>367</v>
      </c>
    </row>
    <row r="19" spans="2:45" ht="20.149999999999999" hidden="1" customHeight="1" outlineLevel="1" thickBot="1">
      <c r="B19" s="59">
        <v>1</v>
      </c>
      <c r="E19" s="51"/>
      <c r="F19" s="222" t="str">
        <f>VLOOKUP("Picture",Tp_LANGUAGE!$A$2:$Z$1001,MATCH(Tp_Global!$J$6,Tp_LANGUAGE!$A$1:$Z$1,0),FALSE)</f>
        <v>Picture</v>
      </c>
      <c r="G19" s="223"/>
      <c r="H19" s="222" t="str">
        <f>VLOOKUP("Program",Tp_LANGUAGE!$A$2:$Z$1001,MATCH(Tp_Global!$J$6,Tp_LANGUAGE!$A$1:$Z$1,0),FALSE)</f>
        <v>Program</v>
      </c>
      <c r="I19" s="223"/>
      <c r="J19" s="223"/>
      <c r="K19" s="223"/>
      <c r="L19" s="223"/>
      <c r="M19" s="224"/>
      <c r="N19" s="67" t="str">
        <f>VLOOKUP("Time",Tp_LANGUAGE!$A$2:$Z$1001,MATCH(Tp_Global!$J$6,Tp_LANGUAGE!$A$1:$Z$1,0),FALSE)</f>
        <v>Time</v>
      </c>
      <c r="O19" s="222" t="str">
        <f>VLOOKUP("Comment",Tp_LANGUAGE!$A$2:$Z$1001,MATCH(Tp_Global!$J$6,Tp_LANGUAGE!$A$1:$Z$1,0),FALSE)</f>
        <v>Comment</v>
      </c>
      <c r="P19" s="223"/>
      <c r="Q19" s="224"/>
      <c r="R19" s="222" t="str">
        <f>VLOOKUP("Path",Tp_LANGUAGE!$A$2:$Z$1001,MATCH(Tp_Global!$J$6,Tp_LANGUAGE!$A$1:$Z$1,0),FALSE)</f>
        <v>Path</v>
      </c>
      <c r="S19" s="223"/>
      <c r="T19" s="223"/>
      <c r="U19" s="224"/>
      <c r="V19" s="61"/>
      <c r="AI19" s="51" t="s">
        <v>265</v>
      </c>
      <c r="AL19" s="51" t="s">
        <v>297</v>
      </c>
      <c r="AP19" s="32" t="s">
        <v>336</v>
      </c>
      <c r="AS19" s="32" t="s">
        <v>368</v>
      </c>
    </row>
    <row r="20" spans="2:45" ht="20.149999999999999" hidden="1" customHeight="1" outlineLevel="1">
      <c r="E20" s="51"/>
      <c r="F20" s="60"/>
      <c r="G20" s="60"/>
      <c r="H20" s="60"/>
      <c r="L20" s="50"/>
      <c r="M20" s="60"/>
      <c r="Q20" s="60"/>
      <c r="R20" s="60"/>
      <c r="S20" s="60"/>
      <c r="T20" s="60"/>
      <c r="U20" s="60"/>
      <c r="V20" s="61"/>
      <c r="AI20" s="65"/>
      <c r="AL20" s="65"/>
      <c r="AP20" s="32" t="s">
        <v>337</v>
      </c>
      <c r="AS20" s="32" t="s">
        <v>369</v>
      </c>
    </row>
    <row r="21" spans="2:45" ht="20.149999999999999" hidden="1" customHeight="1" outlineLevel="1">
      <c r="V21" s="61"/>
      <c r="AI21" s="62" t="s">
        <v>267</v>
      </c>
      <c r="AL21" s="62" t="s">
        <v>299</v>
      </c>
      <c r="AP21" s="32" t="s">
        <v>338</v>
      </c>
      <c r="AS21" s="32" t="s">
        <v>370</v>
      </c>
    </row>
    <row r="22" spans="2:45" ht="20.149999999999999" hidden="1" customHeight="1" outlineLevel="1">
      <c r="B22" s="59">
        <v>1</v>
      </c>
      <c r="F22" s="210" t="s">
        <v>290</v>
      </c>
      <c r="G22" s="210"/>
      <c r="H22" s="271" t="str">
        <f>H25</f>
        <v>ZONEPROGRAM.STR1-[PROGNAME]</v>
      </c>
      <c r="I22" s="271"/>
      <c r="J22" s="271"/>
      <c r="K22" s="271"/>
      <c r="L22" s="271"/>
      <c r="M22" s="271"/>
      <c r="N22" s="210" t="s">
        <v>287</v>
      </c>
      <c r="O22" s="210" t="s">
        <v>288</v>
      </c>
      <c r="P22" s="210"/>
      <c r="Q22" s="210"/>
      <c r="R22" s="210" t="s">
        <v>289</v>
      </c>
      <c r="S22" s="210"/>
      <c r="T22" s="210"/>
      <c r="U22" s="210"/>
      <c r="V22" s="61"/>
      <c r="AI22" s="51" t="s">
        <v>268</v>
      </c>
      <c r="AL22" s="51" t="s">
        <v>300</v>
      </c>
      <c r="AP22" s="32" t="s">
        <v>339</v>
      </c>
      <c r="AS22" s="32" t="s">
        <v>371</v>
      </c>
    </row>
    <row r="23" spans="2:45" ht="20.149999999999999" hidden="1" customHeight="1" outlineLevel="1">
      <c r="B23" s="59">
        <v>1</v>
      </c>
      <c r="F23" s="210"/>
      <c r="G23" s="210"/>
      <c r="H23" s="271"/>
      <c r="I23" s="271"/>
      <c r="J23" s="271"/>
      <c r="K23" s="271"/>
      <c r="L23" s="271"/>
      <c r="M23" s="271"/>
      <c r="N23" s="210"/>
      <c r="O23" s="210"/>
      <c r="P23" s="210"/>
      <c r="Q23" s="210"/>
      <c r="R23" s="210"/>
      <c r="S23" s="210"/>
      <c r="T23" s="210"/>
      <c r="U23" s="210"/>
      <c r="V23" s="61"/>
      <c r="AI23" s="51"/>
      <c r="AL23" s="51"/>
      <c r="AP23" s="32" t="s">
        <v>340</v>
      </c>
      <c r="AS23" s="32" t="s">
        <v>372</v>
      </c>
    </row>
    <row r="24" spans="2:45" ht="20.149999999999999" hidden="1" customHeight="1" outlineLevel="1">
      <c r="B24" s="59">
        <v>1</v>
      </c>
      <c r="F24" s="210"/>
      <c r="G24" s="210"/>
      <c r="H24" s="271"/>
      <c r="I24" s="271"/>
      <c r="J24" s="271"/>
      <c r="K24" s="271"/>
      <c r="L24" s="271"/>
      <c r="M24" s="271"/>
      <c r="N24" s="210"/>
      <c r="O24" s="210"/>
      <c r="P24" s="210"/>
      <c r="Q24" s="210"/>
      <c r="R24" s="210"/>
      <c r="S24" s="210"/>
      <c r="T24" s="210"/>
      <c r="U24" s="210"/>
      <c r="V24" s="61"/>
      <c r="AI24" s="51"/>
      <c r="AL24" s="51"/>
      <c r="AP24" s="32" t="s">
        <v>341</v>
      </c>
      <c r="AS24" s="32" t="s">
        <v>373</v>
      </c>
    </row>
    <row r="25" spans="2:45" ht="20.149999999999999" hidden="1" customHeight="1" outlineLevel="1">
      <c r="B25" s="59">
        <v>1</v>
      </c>
      <c r="E25" s="66"/>
      <c r="F25" s="210"/>
      <c r="G25" s="210"/>
      <c r="H25" s="139" t="s">
        <v>283</v>
      </c>
      <c r="I25" s="140"/>
      <c r="J25" s="140"/>
      <c r="K25" s="140"/>
      <c r="L25" s="140"/>
      <c r="M25" s="141"/>
      <c r="N25" s="210"/>
      <c r="O25" s="210"/>
      <c r="P25" s="210"/>
      <c r="Q25" s="210"/>
      <c r="R25" s="210"/>
      <c r="S25" s="210"/>
      <c r="T25" s="210"/>
      <c r="U25" s="210"/>
      <c r="V25" s="61"/>
      <c r="AI25" s="51" t="s">
        <v>269</v>
      </c>
      <c r="AL25" s="51" t="s">
        <v>301</v>
      </c>
      <c r="AP25" s="32" t="s">
        <v>342</v>
      </c>
      <c r="AS25" s="32" t="s">
        <v>374</v>
      </c>
    </row>
    <row r="26" spans="2:45" ht="20.149999999999999" hidden="1" customHeight="1" outlineLevel="1">
      <c r="E26" s="51"/>
      <c r="F26" s="51"/>
      <c r="G26" s="51"/>
      <c r="H26" s="51"/>
      <c r="I26" s="51"/>
      <c r="J26" s="51"/>
      <c r="K26" s="51"/>
      <c r="L26" s="51"/>
      <c r="M26" s="51"/>
      <c r="N26" s="51"/>
      <c r="O26" s="51"/>
      <c r="P26" s="51"/>
      <c r="Q26" s="51"/>
      <c r="R26" s="51"/>
      <c r="S26" s="51"/>
      <c r="T26" s="51"/>
      <c r="U26" s="51"/>
      <c r="V26" s="61"/>
      <c r="AI26" s="65"/>
      <c r="AL26" s="65"/>
      <c r="AP26" s="32" t="s">
        <v>343</v>
      </c>
      <c r="AS26" s="32" t="s">
        <v>375</v>
      </c>
    </row>
    <row r="27" spans="2:45" ht="20.149999999999999" hidden="1" customHeight="1" outlineLevel="1" thickBot="1">
      <c r="E27" s="51"/>
      <c r="F27" s="51"/>
      <c r="G27" s="51"/>
      <c r="H27" s="51"/>
      <c r="I27" s="51"/>
      <c r="J27" s="51"/>
      <c r="K27" s="51"/>
      <c r="L27" s="51"/>
      <c r="M27" s="51"/>
      <c r="N27" s="51"/>
      <c r="O27" s="51"/>
      <c r="P27" s="51"/>
      <c r="Q27" s="51"/>
      <c r="R27" s="51"/>
      <c r="S27" s="51"/>
      <c r="T27" s="51"/>
      <c r="U27" s="51"/>
      <c r="V27" s="61"/>
      <c r="AI27" s="65"/>
      <c r="AL27" s="65"/>
      <c r="AP27" s="32"/>
      <c r="AS27" s="32"/>
    </row>
    <row r="28" spans="2:45" ht="20.149999999999999" hidden="1" customHeight="1" outlineLevel="1" thickBot="1">
      <c r="B28" s="59">
        <v>1</v>
      </c>
      <c r="E28" s="51"/>
      <c r="F28" s="268" t="str">
        <f>VLOOKUP("Parts",Tp_LANGUAGE!$A$2:$Z$1001,MATCH(Tp_Global!$J$6,Tp_LANGUAGE!$A$1:$Z$1,0),FALSE)</f>
        <v>Parts</v>
      </c>
      <c r="G28" s="269"/>
      <c r="H28" s="269"/>
      <c r="I28" s="269"/>
      <c r="J28" s="269"/>
      <c r="K28" s="269"/>
      <c r="L28" s="269"/>
      <c r="M28" s="269"/>
      <c r="N28" s="269"/>
      <c r="O28" s="269"/>
      <c r="P28" s="269"/>
      <c r="Q28" s="269"/>
      <c r="R28" s="269"/>
      <c r="S28" s="269"/>
      <c r="T28" s="269"/>
      <c r="U28" s="270"/>
      <c r="V28" s="61"/>
      <c r="AI28" s="65"/>
      <c r="AL28" s="65"/>
      <c r="AP28" s="32"/>
      <c r="AS28" s="32"/>
    </row>
    <row r="29" spans="2:45" ht="20.149999999999999" hidden="1" customHeight="1" outlineLevel="1">
      <c r="B29" s="59">
        <v>1</v>
      </c>
      <c r="E29" s="51"/>
      <c r="F29" s="202" t="str">
        <f>VLOOKUP("Picture",Tp_LANGUAGE!$A$2:$Z$1001,MATCH(Tp_Global!$J$6,Tp_LANGUAGE!$A$1:$Z$1,0),FALSE)</f>
        <v>Picture</v>
      </c>
      <c r="G29" s="145"/>
      <c r="H29" s="228" t="str">
        <f>VLOOKUP("Part Number",Tp_LANGUAGE!$A$2:$Z$1001,MATCH(Tp_Global!$J$6,Tp_LANGUAGE!$A$1:$Z$1,0),FALSE)</f>
        <v>Part Number</v>
      </c>
      <c r="I29" s="229"/>
      <c r="J29" s="202" t="str">
        <f>VLOOKUP("Material",Tp_LANGUAGE!$A$2:$Z$1001,MATCH(Tp_Global!$J$6,Tp_LANGUAGE!$A$1:$Z$1,0),FALSE)</f>
        <v>Material</v>
      </c>
      <c r="K29" s="145"/>
      <c r="L29" s="145"/>
      <c r="M29" s="145"/>
      <c r="N29" s="276"/>
      <c r="O29" s="161" t="str">
        <f>VLOOKUP("Material Supplier",Tp_LANGUAGE!$A$2:$Z$1001,MATCH(Tp_Global!$J$6,Tp_LANGUAGE!$A$1:$Z$1,0),FALSE)</f>
        <v>Material Supplier</v>
      </c>
      <c r="P29" s="239"/>
      <c r="Q29" s="162"/>
      <c r="R29" s="216" t="str">
        <f>VLOOKUP("Dimensions (mm)",Tp_LANGUAGE!$A$2:$Z$1001,MATCH(Tp_Global!$J$6,Tp_LANGUAGE!$A$1:$Z$1,0),FALSE)</f>
        <v>Dimensions (mm)</v>
      </c>
      <c r="S29" s="267"/>
      <c r="T29" s="217"/>
      <c r="U29" s="225" t="str">
        <f>VLOOKUP("Qty (U)",Tp_LANGUAGE!$A$2:$Z$1001,MATCH(Tp_Global!$J$6,Tp_LANGUAGE!$A$1:$Z$1,0),FALSE)</f>
        <v>Qty (U)</v>
      </c>
      <c r="V29" s="61"/>
      <c r="AI29" s="65"/>
      <c r="AL29" s="65"/>
      <c r="AP29" s="32"/>
      <c r="AS29" s="32"/>
    </row>
    <row r="30" spans="2:45" ht="20.149999999999999" hidden="1" customHeight="1" outlineLevel="1" thickBot="1">
      <c r="B30" s="59">
        <v>1</v>
      </c>
      <c r="E30" s="51"/>
      <c r="F30" s="203"/>
      <c r="G30" s="275"/>
      <c r="H30" s="230"/>
      <c r="I30" s="231"/>
      <c r="J30" s="203"/>
      <c r="K30" s="275"/>
      <c r="L30" s="275"/>
      <c r="M30" s="275"/>
      <c r="N30" s="277"/>
      <c r="O30" s="155"/>
      <c r="P30" s="156"/>
      <c r="Q30" s="157"/>
      <c r="R30" s="68" t="str">
        <f>VLOOKUP("L",Tp_LANGUAGE!$A$2:$Z$1001,MATCH(Tp_Global!$J$6,Tp_LANGUAGE!$A$1:$Z$1,0),FALSE)</f>
        <v>L</v>
      </c>
      <c r="S30" s="30" t="str">
        <f>VLOOKUP("W",Tp_LANGUAGE!$A$2:$Z$1001,MATCH(Tp_Global!$J$6,Tp_LANGUAGE!$A$1:$Z$1,0),FALSE)</f>
        <v>W</v>
      </c>
      <c r="T30" s="31" t="str">
        <f>VLOOKUP("T",Tp_LANGUAGE!$A$2:$Z$1001,MATCH(Tp_Global!$J$6,Tp_LANGUAGE!$A$1:$Z$1,0),FALSE)</f>
        <v>T</v>
      </c>
      <c r="U30" s="226"/>
      <c r="V30" s="61"/>
      <c r="AI30" s="65"/>
      <c r="AL30" s="65"/>
      <c r="AP30" s="32"/>
      <c r="AS30" s="32"/>
    </row>
    <row r="31" spans="2:45" ht="20.149999999999999" hidden="1" customHeight="1" outlineLevel="1">
      <c r="E31" s="51"/>
      <c r="F31" s="51"/>
      <c r="G31" s="51"/>
      <c r="H31" s="51"/>
      <c r="I31" s="51"/>
      <c r="J31" s="51"/>
      <c r="K31" s="51"/>
      <c r="L31" s="51"/>
      <c r="M31" s="51"/>
      <c r="N31" s="51"/>
      <c r="O31" s="51"/>
      <c r="P31" s="51"/>
      <c r="Q31" s="51"/>
      <c r="R31" s="51"/>
      <c r="S31" s="51"/>
      <c r="T31" s="51"/>
      <c r="U31" s="51"/>
      <c r="V31" s="61"/>
      <c r="AI31" s="65"/>
      <c r="AL31" s="65"/>
      <c r="AP31" s="32"/>
      <c r="AS31" s="32"/>
    </row>
    <row r="32" spans="2:45" ht="20.149999999999999" hidden="1" customHeight="1" outlineLevel="1" thickBot="1">
      <c r="E32" s="51"/>
      <c r="F32" s="51"/>
      <c r="G32" s="51"/>
      <c r="H32" s="51"/>
      <c r="I32" s="51"/>
      <c r="J32" s="51"/>
      <c r="K32" s="51"/>
      <c r="L32" s="51"/>
      <c r="M32" s="51"/>
      <c r="N32" s="51"/>
      <c r="O32" s="51"/>
      <c r="P32" s="51"/>
      <c r="Q32" s="51"/>
      <c r="R32" s="51"/>
      <c r="S32" s="51"/>
      <c r="T32" s="51"/>
      <c r="U32" s="51"/>
      <c r="V32" s="61"/>
      <c r="AI32" s="65"/>
      <c r="AL32" s="65"/>
      <c r="AP32" s="32" t="s">
        <v>344</v>
      </c>
      <c r="AS32" s="32" t="s">
        <v>376</v>
      </c>
    </row>
    <row r="33" spans="1:45" ht="20.149999999999999" hidden="1" customHeight="1" outlineLevel="1" thickBot="1">
      <c r="B33" s="59">
        <v>1</v>
      </c>
      <c r="E33" s="51"/>
      <c r="F33" s="272" t="str">
        <f>VLOOKUP("Stocks",Tp_LANGUAGE!$A$2:$Z$1001,MATCH(Tp_Global!$J$6,Tp_LANGUAGE!$A$1:$Z$1,0),FALSE)</f>
        <v>Stocks</v>
      </c>
      <c r="G33" s="273"/>
      <c r="H33" s="273"/>
      <c r="I33" s="273"/>
      <c r="J33" s="273"/>
      <c r="K33" s="273"/>
      <c r="L33" s="273"/>
      <c r="M33" s="273"/>
      <c r="N33" s="273"/>
      <c r="O33" s="273"/>
      <c r="P33" s="273"/>
      <c r="Q33" s="273"/>
      <c r="R33" s="273"/>
      <c r="S33" s="273"/>
      <c r="T33" s="273"/>
      <c r="U33" s="274"/>
      <c r="V33" s="61"/>
      <c r="AI33" s="65"/>
      <c r="AL33" s="65"/>
      <c r="AP33" s="32" t="s">
        <v>345</v>
      </c>
      <c r="AS33" s="32" t="s">
        <v>377</v>
      </c>
    </row>
    <row r="34" spans="1:45" ht="20.149999999999999" hidden="1" customHeight="1" outlineLevel="1">
      <c r="B34" s="59">
        <v>1</v>
      </c>
      <c r="E34" s="51"/>
      <c r="F34" s="202" t="str">
        <f>VLOOKUP("Picture",Tp_LANGUAGE!$A$2:$Z$1001,MATCH(Tp_Global!$J$6,Tp_LANGUAGE!$A$1:$Z$1,0),FALSE)</f>
        <v>Picture</v>
      </c>
      <c r="G34" s="145"/>
      <c r="H34" s="228" t="str">
        <f>VLOOKUP("Stock Number",Tp_LANGUAGE!$A$2:$Z$1001,MATCH(Tp_Global!$J$6,Tp_LANGUAGE!$A$1:$Z$1,0),FALSE)</f>
        <v>Stock Number</v>
      </c>
      <c r="I34" s="229"/>
      <c r="J34" s="202" t="str">
        <f>VLOOKUP("Material",Tp_LANGUAGE!$A$2:$Z$1001,MATCH(Tp_Global!$J$6,Tp_LANGUAGE!$A$1:$Z$1,0),FALSE)</f>
        <v>Material</v>
      </c>
      <c r="K34" s="145"/>
      <c r="L34" s="145"/>
      <c r="M34" s="145"/>
      <c r="N34" s="276"/>
      <c r="O34" s="161" t="str">
        <f>VLOOKUP("Material Supplier",Tp_LANGUAGE!$A$2:$Z$1001,MATCH(Tp_Global!$J$6,Tp_LANGUAGE!$A$1:$Z$1,0),FALSE)</f>
        <v>Material Supplier</v>
      </c>
      <c r="P34" s="239"/>
      <c r="Q34" s="162"/>
      <c r="R34" s="216" t="str">
        <f>VLOOKUP("Dimensions (mm)",Tp_LANGUAGE!$A$2:$Z$1001,MATCH(Tp_Global!$J$6,Tp_LANGUAGE!$A$1:$Z$1,0),FALSE)</f>
        <v>Dimensions (mm)</v>
      </c>
      <c r="S34" s="267"/>
      <c r="T34" s="217"/>
      <c r="U34" s="225" t="str">
        <f>VLOOKUP("Qty (U)",Tp_LANGUAGE!$A$2:$Z$1001,MATCH(Tp_Global!$J$6,Tp_LANGUAGE!$A$1:$Z$1,0),FALSE)</f>
        <v>Qty (U)</v>
      </c>
      <c r="V34" s="61"/>
      <c r="AI34" s="65"/>
      <c r="AL34" s="65"/>
    </row>
    <row r="35" spans="1:45" ht="20.149999999999999" hidden="1" customHeight="1" outlineLevel="1" thickBot="1">
      <c r="B35" s="59">
        <v>1</v>
      </c>
      <c r="E35" s="51"/>
      <c r="F35" s="203"/>
      <c r="G35" s="275"/>
      <c r="H35" s="230"/>
      <c r="I35" s="231"/>
      <c r="J35" s="203"/>
      <c r="K35" s="275"/>
      <c r="L35" s="275"/>
      <c r="M35" s="275"/>
      <c r="N35" s="277"/>
      <c r="O35" s="155"/>
      <c r="P35" s="156"/>
      <c r="Q35" s="157"/>
      <c r="R35" s="68" t="str">
        <f>VLOOKUP("L",Tp_LANGUAGE!$A$2:$Z$1001,MATCH(Tp_Global!$J$6,Tp_LANGUAGE!$A$1:$Z$1,0),FALSE)</f>
        <v>L</v>
      </c>
      <c r="S35" s="30" t="str">
        <f>VLOOKUP("W",Tp_LANGUAGE!$A$2:$Z$1001,MATCH(Tp_Global!$J$6,Tp_LANGUAGE!$A$1:$Z$1,0),FALSE)</f>
        <v>W</v>
      </c>
      <c r="T35" s="31" t="str">
        <f>VLOOKUP("T",Tp_LANGUAGE!$A$2:$Z$1001,MATCH(Tp_Global!$J$6,Tp_LANGUAGE!$A$1:$Z$1,0),FALSE)</f>
        <v>T</v>
      </c>
      <c r="U35" s="226"/>
      <c r="V35" s="61"/>
      <c r="AI35" s="65"/>
      <c r="AL35" s="65"/>
    </row>
    <row r="36" spans="1:45" ht="20.149999999999999" hidden="1" customHeight="1" outlineLevel="1">
      <c r="E36" s="51"/>
      <c r="F36" s="60"/>
      <c r="G36" s="60"/>
      <c r="H36" s="63"/>
      <c r="I36" s="63"/>
      <c r="J36" s="60"/>
      <c r="K36" s="60"/>
      <c r="L36" s="60"/>
      <c r="M36" s="60"/>
      <c r="N36" s="60"/>
      <c r="O36" s="50"/>
      <c r="P36" s="50"/>
      <c r="Q36" s="50"/>
      <c r="R36" s="50"/>
      <c r="S36" s="50"/>
      <c r="T36" s="50"/>
      <c r="U36" s="50"/>
      <c r="V36" s="61"/>
      <c r="AI36" s="65"/>
      <c r="AL36" s="65"/>
    </row>
    <row r="37" spans="1:45" ht="20.149999999999999" hidden="1" customHeight="1" outlineLevel="1">
      <c r="E37" s="51"/>
      <c r="F37" s="60"/>
      <c r="G37" s="60"/>
      <c r="H37" s="63"/>
      <c r="I37" s="63"/>
      <c r="J37" s="60"/>
      <c r="K37" s="60"/>
      <c r="L37" s="60"/>
      <c r="M37" s="60"/>
      <c r="N37" s="60"/>
      <c r="O37" s="50"/>
      <c r="P37" s="50"/>
      <c r="Q37" s="50"/>
      <c r="R37" s="50"/>
      <c r="S37" s="50"/>
      <c r="T37" s="50"/>
      <c r="U37" s="50"/>
      <c r="V37" s="61"/>
      <c r="AI37" s="65"/>
      <c r="AL37" s="65"/>
    </row>
    <row r="38" spans="1:45" ht="20.149999999999999" hidden="1" customHeight="1" outlineLevel="1">
      <c r="B38" s="59">
        <v>1</v>
      </c>
      <c r="C38" s="220" t="s">
        <v>351</v>
      </c>
      <c r="D38" s="220">
        <f>D36+1</f>
        <v>1</v>
      </c>
      <c r="E38" s="51"/>
      <c r="F38" s="210" t="s">
        <v>358</v>
      </c>
      <c r="G38" s="210"/>
      <c r="H38" s="227" t="str">
        <f>C38&amp;"_"&amp;D38</f>
        <v>ZONESTOCK.STR1-[NUM_PANEL_EXT]_1</v>
      </c>
      <c r="I38" s="227"/>
      <c r="J38" s="210" t="s">
        <v>352</v>
      </c>
      <c r="K38" s="210"/>
      <c r="L38" s="210"/>
      <c r="M38" s="210"/>
      <c r="N38" s="210"/>
      <c r="O38" s="210" t="s">
        <v>353</v>
      </c>
      <c r="P38" s="210"/>
      <c r="Q38" s="210"/>
      <c r="R38" s="210" t="s">
        <v>354</v>
      </c>
      <c r="S38" s="210" t="s">
        <v>355</v>
      </c>
      <c r="T38" s="210" t="s">
        <v>356</v>
      </c>
      <c r="U38" s="210" t="s">
        <v>357</v>
      </c>
      <c r="V38" s="61"/>
      <c r="AF38" s="32" t="s">
        <v>210</v>
      </c>
      <c r="AG38" s="32" t="s">
        <v>211</v>
      </c>
      <c r="AH38" s="32" t="s">
        <v>212</v>
      </c>
      <c r="AI38" s="32" t="s">
        <v>213</v>
      </c>
      <c r="AL38" s="65"/>
    </row>
    <row r="39" spans="1:45" ht="20.149999999999999" hidden="1" customHeight="1" outlineLevel="1">
      <c r="B39" s="59">
        <v>1</v>
      </c>
      <c r="C39" s="221"/>
      <c r="D39" s="221"/>
      <c r="E39" s="51"/>
      <c r="F39" s="210"/>
      <c r="G39" s="210"/>
      <c r="H39" s="227"/>
      <c r="I39" s="227"/>
      <c r="J39" s="210"/>
      <c r="K39" s="210"/>
      <c r="L39" s="210"/>
      <c r="M39" s="210"/>
      <c r="N39" s="210"/>
      <c r="O39" s="210"/>
      <c r="P39" s="210"/>
      <c r="Q39" s="210"/>
      <c r="R39" s="210"/>
      <c r="S39" s="210"/>
      <c r="T39" s="210"/>
      <c r="U39" s="210"/>
      <c r="V39" s="61"/>
      <c r="AI39" s="65"/>
      <c r="AL39" s="65"/>
    </row>
    <row r="40" spans="1:45" ht="20.149999999999999" hidden="1" customHeight="1" outlineLevel="1">
      <c r="E40" s="51"/>
      <c r="F40" s="60"/>
      <c r="G40" s="60"/>
      <c r="H40" s="63"/>
      <c r="I40" s="63"/>
      <c r="J40" s="60"/>
      <c r="K40" s="60"/>
      <c r="L40" s="60"/>
      <c r="M40" s="60"/>
      <c r="N40" s="60"/>
      <c r="O40" s="50"/>
      <c r="P40" s="50"/>
      <c r="Q40" s="50"/>
      <c r="R40" s="50"/>
      <c r="S40" s="50"/>
      <c r="T40" s="50"/>
      <c r="U40" s="50"/>
      <c r="V40" s="61"/>
      <c r="AI40" s="65"/>
      <c r="AL40" s="65"/>
    </row>
    <row r="41" spans="1:45" ht="20.149999999999999" hidden="1" customHeight="1" outlineLevel="1" thickBot="1">
      <c r="E41" s="60"/>
      <c r="F41" s="60"/>
      <c r="G41" s="60"/>
      <c r="H41" s="60"/>
      <c r="I41" s="60"/>
      <c r="J41" s="50"/>
      <c r="K41" s="50"/>
      <c r="L41" s="50"/>
      <c r="M41" s="60"/>
      <c r="N41" s="60"/>
      <c r="O41" s="60"/>
      <c r="P41" s="60"/>
      <c r="Q41" s="60"/>
      <c r="R41" s="60"/>
      <c r="S41" s="60"/>
      <c r="T41" s="60"/>
      <c r="U41" s="60"/>
      <c r="V41" s="61"/>
      <c r="AI41" s="32" t="s">
        <v>270</v>
      </c>
      <c r="AL41" s="32" t="s">
        <v>302</v>
      </c>
    </row>
    <row r="42" spans="1:45" ht="20.149999999999999" hidden="1" customHeight="1" outlineLevel="1" thickBot="1">
      <c r="A42" s="57"/>
      <c r="B42" s="59">
        <v>1</v>
      </c>
      <c r="E42" s="232" t="str">
        <f>VLOOKUP("Panels",Tp_LANGUAGE!$A$2:$Z$1001,MATCH(Tp_Global!$J$6,Tp_LANGUAGE!$A$1:$Z$1,0),FALSE)</f>
        <v>Panels</v>
      </c>
      <c r="F42" s="233"/>
      <c r="G42" s="233"/>
      <c r="H42" s="234"/>
      <c r="I42" s="234"/>
      <c r="J42" s="234"/>
      <c r="K42" s="234"/>
      <c r="L42" s="234"/>
      <c r="M42" s="234"/>
      <c r="N42" s="233"/>
      <c r="O42" s="233"/>
      <c r="P42" s="233"/>
      <c r="Q42" s="233"/>
      <c r="R42" s="233"/>
      <c r="S42" s="233"/>
      <c r="T42" s="233"/>
      <c r="U42" s="235"/>
      <c r="AI42" s="32" t="s">
        <v>271</v>
      </c>
      <c r="AL42" s="32" t="s">
        <v>303</v>
      </c>
    </row>
    <row r="43" spans="1:45" ht="20.149999999999999" hidden="1" customHeight="1" outlineLevel="1">
      <c r="B43" s="59">
        <v>1</v>
      </c>
      <c r="E43" s="236" t="str">
        <f>VLOOKUP("Picture",Tp_LANGUAGE!$A$2:$Z$1001,MATCH(Tp_Global!$J$6,Tp_LANGUAGE!$A$1:$Z$1,0),FALSE)</f>
        <v>Picture</v>
      </c>
      <c r="F43" s="236" t="str">
        <f>VLOOKUP("Part",Tp_LANGUAGE!$A$2:$Z$1001,MATCH(Tp_Global!$J$6,Tp_LANGUAGE!$A$1:$Z$1,0),FALSE)</f>
        <v>Part</v>
      </c>
      <c r="G43" s="236" t="str">
        <f>VLOOKUP("Material",Tp_LANGUAGE!$A$2:$Z$1001,MATCH(Tp_Global!$J$6,Tp_LANGUAGE!$A$1:$Z$1,0),FALSE)</f>
        <v>Material</v>
      </c>
      <c r="H43" s="252" t="str">
        <f>VLOOKUP("Part Number",Tp_LANGUAGE!$A$2:$Z$1001,MATCH(Tp_Global!$J$6,Tp_LANGUAGE!$A$1:$Z$1,0),FALSE)</f>
        <v>Part Number</v>
      </c>
      <c r="I43" s="253"/>
      <c r="J43" s="243" t="str">
        <f>VLOOKUP("Material Supplier",Tp_LANGUAGE!$A$2:$Z$1001,MATCH(Tp_Global!$J$6,Tp_LANGUAGE!$A$1:$Z$1,0),FALSE)</f>
        <v>Material Supplier</v>
      </c>
      <c r="K43" s="244"/>
      <c r="L43" s="244"/>
      <c r="M43" s="245"/>
      <c r="N43" s="239" t="str">
        <f>VLOOKUP("Dimensions (mm)",Tp_LANGUAGE!$A$2:$Z$1001,MATCH(Tp_Global!$J$6,Tp_LANGUAGE!$A$1:$Z$1,0),FALSE)</f>
        <v>Dimensions (mm)</v>
      </c>
      <c r="O43" s="239"/>
      <c r="P43" s="162"/>
      <c r="Q43" s="237" t="str">
        <f>VLOOKUP("Qty (U)",Tp_LANGUAGE!$A$2:$Z$1001,MATCH(Tp_Global!$J$6,Tp_LANGUAGE!$A$1:$Z$1,0),FALSE)</f>
        <v>Qty (U)</v>
      </c>
      <c r="R43" s="161" t="str">
        <f>VLOOKUP("Edgebands",Tp_LANGUAGE!$A$2:$Z$1001,MATCH(Tp_Global!$J$6,Tp_LANGUAGE!$A$1:$Z$1,0),FALSE)</f>
        <v>Edgebands</v>
      </c>
      <c r="S43" s="239"/>
      <c r="T43" s="239"/>
      <c r="U43" s="162"/>
      <c r="V43" s="50"/>
      <c r="AI43" s="32" t="s">
        <v>272</v>
      </c>
      <c r="AL43" s="32" t="s">
        <v>304</v>
      </c>
    </row>
    <row r="44" spans="1:45" ht="20.149999999999999" hidden="1" customHeight="1" outlineLevel="1">
      <c r="B44" s="59">
        <v>1</v>
      </c>
      <c r="E44" s="236"/>
      <c r="F44" s="236"/>
      <c r="G44" s="236"/>
      <c r="H44" s="254"/>
      <c r="I44" s="255"/>
      <c r="J44" s="246"/>
      <c r="K44" s="247"/>
      <c r="L44" s="247"/>
      <c r="M44" s="248"/>
      <c r="N44" s="241"/>
      <c r="O44" s="241"/>
      <c r="P44" s="242"/>
      <c r="Q44" s="238"/>
      <c r="R44" s="240"/>
      <c r="S44" s="241"/>
      <c r="T44" s="241"/>
      <c r="U44" s="242"/>
      <c r="V44" s="50"/>
      <c r="AI44" s="32" t="s">
        <v>273</v>
      </c>
      <c r="AL44" s="32" t="s">
        <v>305</v>
      </c>
    </row>
    <row r="45" spans="1:45" ht="20.149999999999999" hidden="1" customHeight="1" outlineLevel="1" thickBot="1">
      <c r="B45" s="59">
        <v>1</v>
      </c>
      <c r="E45" s="203"/>
      <c r="F45" s="203"/>
      <c r="G45" s="203"/>
      <c r="H45" s="256"/>
      <c r="I45" s="257"/>
      <c r="J45" s="249"/>
      <c r="K45" s="250"/>
      <c r="L45" s="250"/>
      <c r="M45" s="251"/>
      <c r="N45" s="68" t="str">
        <f>VLOOKUP("L",Tp_LANGUAGE!$A$2:$Z$1001,MATCH(Tp_Global!$J$6,Tp_LANGUAGE!$A$1:$Z$1,0),FALSE)</f>
        <v>L</v>
      </c>
      <c r="O45" s="30" t="str">
        <f>VLOOKUP("W",Tp_LANGUAGE!$A$2:$Z$1001,MATCH(Tp_Global!$J$6,Tp_LANGUAGE!$A$1:$Z$1,0),FALSE)</f>
        <v>W</v>
      </c>
      <c r="P45" s="31" t="str">
        <f>VLOOKUP("T",Tp_LANGUAGE!$A$2:$Z$1001,MATCH(Tp_Global!$J$6,Tp_LANGUAGE!$A$1:$Z$1,0),FALSE)</f>
        <v>T</v>
      </c>
      <c r="Q45" s="219"/>
      <c r="R45" s="29" t="str">
        <f>VLOOKUP("F",Tp_LANGUAGE!$A$2:$Z$1001,MATCH(Tp_Global!$J$6,Tp_LANGUAGE!$A$1:$Z$1,0),FALSE)</f>
        <v>F</v>
      </c>
      <c r="S45" s="30" t="str">
        <f>VLOOKUP("B",Tp_LANGUAGE!$A$2:$Z$1001,MATCH(Tp_Global!$J$6,Tp_LANGUAGE!$A$1:$Z$1,0),FALSE)</f>
        <v>B</v>
      </c>
      <c r="T45" s="30" t="str">
        <f>VLOOKUP("L",Tp_LANGUAGE!$A$2:$Z$1001,MATCH(Tp_Global!$J$6,Tp_LANGUAGE!$A$1:$Z$1,0),FALSE)</f>
        <v>L</v>
      </c>
      <c r="U45" s="30" t="str">
        <f>VLOOKUP("R",Tp_LANGUAGE!$A$2:$Z$1001,MATCH(Tp_Global!$J$6,Tp_LANGUAGE!$A$1:$Z$1,0),FALSE)</f>
        <v>R</v>
      </c>
      <c r="V45" s="50"/>
      <c r="AI45" s="32" t="s">
        <v>274</v>
      </c>
      <c r="AL45" s="32" t="s">
        <v>306</v>
      </c>
    </row>
    <row r="46" spans="1:45" ht="20.149999999999999" hidden="1" customHeight="1" outlineLevel="1">
      <c r="E46" s="60"/>
      <c r="F46" s="60"/>
      <c r="G46" s="60"/>
      <c r="H46" s="60"/>
      <c r="I46" s="50"/>
      <c r="J46" s="50"/>
      <c r="K46" s="50"/>
      <c r="L46" s="50"/>
      <c r="M46" s="50"/>
      <c r="N46" s="50"/>
      <c r="O46" s="50"/>
      <c r="P46" s="50"/>
      <c r="Q46" s="50"/>
      <c r="R46" s="50"/>
      <c r="S46" s="50"/>
      <c r="T46" s="50"/>
      <c r="U46" s="50"/>
      <c r="V46" s="50"/>
      <c r="AI46" s="32"/>
      <c r="AL46" s="32"/>
    </row>
    <row r="47" spans="1:45" ht="20.149999999999999" hidden="1" customHeight="1" outlineLevel="1">
      <c r="E47" s="60"/>
      <c r="F47" s="60"/>
      <c r="G47" s="60"/>
      <c r="H47" s="60"/>
      <c r="I47" s="50"/>
      <c r="J47" s="50"/>
      <c r="K47" s="50"/>
      <c r="L47" s="50"/>
      <c r="M47" s="50"/>
      <c r="N47" s="50"/>
      <c r="O47" s="50"/>
      <c r="P47" s="50"/>
      <c r="Q47" s="50"/>
      <c r="R47" s="50"/>
      <c r="S47" s="50"/>
      <c r="T47" s="50"/>
      <c r="U47" s="50"/>
      <c r="V47" s="50"/>
      <c r="AI47" s="32"/>
      <c r="AL47" s="32"/>
    </row>
    <row r="48" spans="1:45" ht="20.149999999999999" hidden="1" customHeight="1" outlineLevel="1">
      <c r="B48" s="64">
        <v>1</v>
      </c>
      <c r="C48" s="64"/>
      <c r="D48" s="64"/>
      <c r="E48" s="210" t="s">
        <v>257</v>
      </c>
      <c r="F48" s="210" t="s">
        <v>200</v>
      </c>
      <c r="G48" s="210" t="s">
        <v>201</v>
      </c>
      <c r="H48" s="210" t="s">
        <v>256</v>
      </c>
      <c r="I48" s="210"/>
      <c r="J48" s="210" t="s">
        <v>214</v>
      </c>
      <c r="K48" s="210"/>
      <c r="L48" s="210"/>
      <c r="M48" s="210"/>
      <c r="N48" s="210" t="s">
        <v>202</v>
      </c>
      <c r="O48" s="210" t="s">
        <v>203</v>
      </c>
      <c r="P48" s="210" t="s">
        <v>204</v>
      </c>
      <c r="Q48" s="210" t="s">
        <v>205</v>
      </c>
      <c r="R48" s="210" t="s">
        <v>206</v>
      </c>
      <c r="S48" s="210" t="s">
        <v>207</v>
      </c>
      <c r="T48" s="210" t="s">
        <v>208</v>
      </c>
      <c r="U48" s="210" t="s">
        <v>209</v>
      </c>
      <c r="AI48" s="32"/>
      <c r="AL48" s="32"/>
    </row>
    <row r="49" spans="1:38" ht="20.149999999999999" hidden="1" customHeight="1" outlineLevel="1">
      <c r="B49" s="64">
        <v>1</v>
      </c>
      <c r="C49" s="64"/>
      <c r="D49" s="64"/>
      <c r="E49" s="210"/>
      <c r="F49" s="210"/>
      <c r="G49" s="210"/>
      <c r="H49" s="210"/>
      <c r="I49" s="210"/>
      <c r="J49" s="210"/>
      <c r="K49" s="210"/>
      <c r="L49" s="210"/>
      <c r="M49" s="210"/>
      <c r="N49" s="210"/>
      <c r="O49" s="210"/>
      <c r="P49" s="210"/>
      <c r="Q49" s="210"/>
      <c r="R49" s="210"/>
      <c r="S49" s="210"/>
      <c r="T49" s="210"/>
      <c r="U49" s="210"/>
      <c r="AI49" s="32"/>
      <c r="AL49" s="32"/>
    </row>
    <row r="50" spans="1:38" ht="20.149999999999999" hidden="1" customHeight="1" outlineLevel="1">
      <c r="B50" s="64">
        <v>1</v>
      </c>
      <c r="C50" s="64"/>
      <c r="D50" s="64"/>
      <c r="E50" s="210"/>
      <c r="F50" s="210"/>
      <c r="G50" s="210"/>
      <c r="H50" s="210"/>
      <c r="I50" s="210"/>
      <c r="J50" s="210"/>
      <c r="K50" s="210"/>
      <c r="L50" s="210"/>
      <c r="M50" s="210"/>
      <c r="N50" s="210"/>
      <c r="O50" s="210"/>
      <c r="P50" s="210"/>
      <c r="Q50" s="210"/>
      <c r="R50" s="210"/>
      <c r="S50" s="210"/>
      <c r="T50" s="210"/>
      <c r="U50" s="210"/>
      <c r="AI50" s="32"/>
      <c r="AL50" s="32"/>
    </row>
    <row r="51" spans="1:38" ht="20.149999999999999" hidden="1" customHeight="1" outlineLevel="1">
      <c r="B51" s="64">
        <v>1</v>
      </c>
      <c r="C51" s="64"/>
      <c r="D51" s="64"/>
      <c r="E51" s="210"/>
      <c r="F51" s="210"/>
      <c r="G51" s="210"/>
      <c r="H51" s="210"/>
      <c r="I51" s="210"/>
      <c r="J51" s="210"/>
      <c r="K51" s="210"/>
      <c r="L51" s="210"/>
      <c r="M51" s="210"/>
      <c r="N51" s="210"/>
      <c r="O51" s="210"/>
      <c r="P51" s="210"/>
      <c r="Q51" s="210"/>
      <c r="R51" s="210"/>
      <c r="S51" s="210"/>
      <c r="T51" s="210"/>
      <c r="U51" s="210"/>
      <c r="AI51" s="32" t="s">
        <v>275</v>
      </c>
      <c r="AL51" s="32" t="s">
        <v>307</v>
      </c>
    </row>
    <row r="52" spans="1:38" ht="20.149999999999999" hidden="1" customHeight="1" outlineLevel="1">
      <c r="B52" s="64"/>
      <c r="C52" s="64"/>
      <c r="D52" s="64"/>
      <c r="E52" s="51"/>
      <c r="F52" s="51"/>
      <c r="G52" s="51"/>
      <c r="H52" s="51"/>
      <c r="I52" s="51"/>
      <c r="J52" s="51"/>
      <c r="K52" s="51"/>
      <c r="L52" s="51"/>
      <c r="M52" s="51"/>
      <c r="N52" s="51"/>
      <c r="O52" s="51"/>
      <c r="P52" s="51"/>
      <c r="Q52" s="51"/>
      <c r="R52" s="51"/>
      <c r="S52" s="51"/>
      <c r="T52" s="51"/>
      <c r="U52" s="51"/>
      <c r="AI52" s="32"/>
      <c r="AL52" s="32"/>
    </row>
    <row r="53" spans="1:38" ht="20.149999999999999" hidden="1" customHeight="1" outlineLevel="1">
      <c r="B53" s="59">
        <v>1</v>
      </c>
      <c r="E53" s="60"/>
      <c r="F53" s="60"/>
      <c r="G53" s="60"/>
      <c r="H53" s="60"/>
      <c r="I53" s="50"/>
      <c r="J53" s="50"/>
      <c r="K53" s="50"/>
      <c r="L53" s="50"/>
      <c r="M53" s="50"/>
      <c r="N53" s="50"/>
      <c r="O53" s="50"/>
      <c r="P53" s="50"/>
      <c r="Q53" s="50"/>
      <c r="R53" s="50"/>
      <c r="S53" s="50"/>
      <c r="T53" s="50"/>
      <c r="U53" s="50"/>
      <c r="V53" s="50"/>
      <c r="AI53" s="32" t="s">
        <v>276</v>
      </c>
      <c r="AL53" s="32" t="s">
        <v>308</v>
      </c>
    </row>
    <row r="54" spans="1:38" ht="20.149999999999999" hidden="1" customHeight="1" outlineLevel="1">
      <c r="B54" s="59">
        <v>1</v>
      </c>
      <c r="E54" s="210" t="s">
        <v>248</v>
      </c>
      <c r="F54" s="210"/>
      <c r="G54" s="210"/>
      <c r="H54" s="210" t="s">
        <v>197</v>
      </c>
      <c r="I54" s="210"/>
      <c r="J54" s="210"/>
      <c r="K54" s="210"/>
      <c r="L54" s="210"/>
      <c r="M54" s="210"/>
      <c r="N54" s="210"/>
      <c r="O54" s="210"/>
      <c r="P54" s="210"/>
      <c r="Q54" s="210"/>
      <c r="R54" s="210"/>
      <c r="S54" s="210"/>
      <c r="T54" s="210" t="s">
        <v>198</v>
      </c>
      <c r="U54" s="210"/>
      <c r="AI54" s="32" t="s">
        <v>277</v>
      </c>
      <c r="AL54" s="32" t="s">
        <v>309</v>
      </c>
    </row>
    <row r="55" spans="1:38" ht="20.149999999999999" hidden="1" customHeight="1" outlineLevel="1">
      <c r="B55" s="59">
        <v>1</v>
      </c>
      <c r="E55" s="210"/>
      <c r="F55" s="210"/>
      <c r="G55" s="210"/>
      <c r="H55" s="210"/>
      <c r="I55" s="210"/>
      <c r="J55" s="210"/>
      <c r="K55" s="210"/>
      <c r="L55" s="210"/>
      <c r="M55" s="210"/>
      <c r="N55" s="210"/>
      <c r="O55" s="210"/>
      <c r="P55" s="210"/>
      <c r="Q55" s="210"/>
      <c r="R55" s="210"/>
      <c r="S55" s="210"/>
      <c r="T55" s="210"/>
      <c r="U55" s="210"/>
    </row>
    <row r="56" spans="1:38" ht="20.149999999999999" hidden="1" customHeight="1" outlineLevel="1">
      <c r="B56" s="59">
        <v>1</v>
      </c>
      <c r="E56" s="210"/>
      <c r="F56" s="210"/>
      <c r="G56" s="210"/>
      <c r="H56" s="210"/>
      <c r="I56" s="210"/>
      <c r="J56" s="210"/>
      <c r="K56" s="210"/>
      <c r="L56" s="210"/>
      <c r="M56" s="210"/>
      <c r="N56" s="210"/>
      <c r="O56" s="210"/>
      <c r="P56" s="210"/>
      <c r="Q56" s="210"/>
      <c r="R56" s="210"/>
      <c r="S56" s="210"/>
      <c r="T56" s="210"/>
      <c r="U56" s="210"/>
      <c r="AI56" s="210" t="s">
        <v>284</v>
      </c>
      <c r="AJ56" s="210" t="s">
        <v>285</v>
      </c>
      <c r="AK56" s="210" t="s">
        <v>286</v>
      </c>
    </row>
    <row r="57" spans="1:38" ht="20.149999999999999" hidden="1" customHeight="1" outlineLevel="1">
      <c r="B57" s="59">
        <v>1</v>
      </c>
      <c r="E57" s="210"/>
      <c r="F57" s="210"/>
      <c r="G57" s="210"/>
      <c r="H57" s="210"/>
      <c r="I57" s="210"/>
      <c r="J57" s="210"/>
      <c r="K57" s="210"/>
      <c r="L57" s="210"/>
      <c r="M57" s="210"/>
      <c r="N57" s="210"/>
      <c r="O57" s="210"/>
      <c r="P57" s="210"/>
      <c r="Q57" s="210"/>
      <c r="R57" s="210"/>
      <c r="S57" s="210"/>
      <c r="T57" s="210" t="s">
        <v>199</v>
      </c>
      <c r="U57" s="210"/>
      <c r="AI57" s="210"/>
      <c r="AJ57" s="210"/>
      <c r="AK57" s="210"/>
    </row>
    <row r="58" spans="1:38" ht="20.149999999999999" hidden="1" customHeight="1" outlineLevel="1">
      <c r="B58" s="59">
        <v>1</v>
      </c>
      <c r="E58" s="210"/>
      <c r="F58" s="210"/>
      <c r="G58" s="210"/>
      <c r="H58" s="210"/>
      <c r="I58" s="210"/>
      <c r="J58" s="210"/>
      <c r="K58" s="210"/>
      <c r="L58" s="210"/>
      <c r="M58" s="210"/>
      <c r="N58" s="210"/>
      <c r="O58" s="210"/>
      <c r="P58" s="210"/>
      <c r="Q58" s="210"/>
      <c r="R58" s="210"/>
      <c r="S58" s="210"/>
      <c r="T58" s="210"/>
      <c r="U58" s="210"/>
      <c r="AI58" s="210"/>
      <c r="AJ58" s="210"/>
      <c r="AK58" s="210"/>
    </row>
    <row r="59" spans="1:38" ht="20.149999999999999" hidden="1" customHeight="1" outlineLevel="1">
      <c r="A59" s="57"/>
      <c r="B59" s="59">
        <v>1</v>
      </c>
      <c r="E59" s="210"/>
      <c r="F59" s="210"/>
      <c r="G59" s="210"/>
      <c r="H59" s="210"/>
      <c r="I59" s="210"/>
      <c r="J59" s="210"/>
      <c r="K59" s="210"/>
      <c r="L59" s="210"/>
      <c r="M59" s="210"/>
      <c r="N59" s="210"/>
      <c r="O59" s="210"/>
      <c r="P59" s="210"/>
      <c r="Q59" s="210"/>
      <c r="R59" s="210"/>
      <c r="S59" s="210"/>
      <c r="T59" s="210"/>
      <c r="U59" s="210"/>
    </row>
    <row r="60" spans="1:38" ht="20.149999999999999" customHeight="1" collapsed="1">
      <c r="B60" s="64">
        <v>1</v>
      </c>
      <c r="C60" s="64"/>
      <c r="D60" s="64"/>
      <c r="X60" s="163" t="s">
        <v>55</v>
      </c>
      <c r="Y60" s="163"/>
      <c r="AA60" s="49"/>
      <c r="AB60" s="49" t="s">
        <v>195</v>
      </c>
      <c r="AC60" s="49" t="s">
        <v>221</v>
      </c>
      <c r="AD60" s="49" t="s">
        <v>196</v>
      </c>
    </row>
    <row r="61" spans="1:38" ht="20.149999999999999" customHeight="1">
      <c r="B61" s="64"/>
      <c r="C61" s="64"/>
      <c r="D61" s="64"/>
      <c r="X61" s="163"/>
      <c r="Y61" s="163"/>
      <c r="AA61" s="32" t="s">
        <v>230</v>
      </c>
      <c r="AB61" s="32" t="s">
        <v>215</v>
      </c>
      <c r="AC61" s="32" t="s">
        <v>218</v>
      </c>
      <c r="AD61" s="32" t="s">
        <v>224</v>
      </c>
    </row>
    <row r="62" spans="1:38" ht="20.149999999999999" customHeight="1">
      <c r="B62" s="64"/>
      <c r="C62" s="64"/>
      <c r="D62" s="64"/>
      <c r="X62" s="163"/>
      <c r="Y62" s="163"/>
      <c r="AB62" s="32" t="s">
        <v>216</v>
      </c>
      <c r="AC62" s="32" t="s">
        <v>219</v>
      </c>
      <c r="AD62" s="32" t="s">
        <v>225</v>
      </c>
    </row>
    <row r="63" spans="1:38" ht="20.149999999999999" customHeight="1">
      <c r="B63" s="64"/>
      <c r="C63" s="64"/>
      <c r="D63" s="64"/>
      <c r="X63" s="163"/>
      <c r="Y63" s="163"/>
      <c r="AB63" s="32" t="s">
        <v>217</v>
      </c>
      <c r="AC63" s="32" t="s">
        <v>220</v>
      </c>
      <c r="AD63" s="32" t="s">
        <v>226</v>
      </c>
    </row>
    <row r="64" spans="1:38" ht="20.149999999999999" customHeight="1">
      <c r="B64" s="64"/>
      <c r="C64" s="64"/>
      <c r="D64" s="64"/>
      <c r="X64" s="163"/>
      <c r="Y64" s="163"/>
      <c r="AB64" s="32" t="s">
        <v>258</v>
      </c>
      <c r="AC64" s="32" t="s">
        <v>316</v>
      </c>
      <c r="AD64" s="32" t="s">
        <v>320</v>
      </c>
    </row>
    <row r="65" spans="2:25" ht="20.149999999999999" customHeight="1">
      <c r="B65" s="64"/>
      <c r="C65" s="64"/>
      <c r="D65" s="64"/>
      <c r="X65" s="163"/>
      <c r="Y65" s="163"/>
    </row>
    <row r="66" spans="2:25" ht="20.149999999999999" customHeight="1">
      <c r="B66" s="64"/>
      <c r="C66" s="64"/>
      <c r="D66" s="64"/>
      <c r="X66" s="32" t="s">
        <v>170</v>
      </c>
      <c r="Y66" s="32">
        <v>1</v>
      </c>
    </row>
    <row r="67" spans="2:25" ht="20.149999999999999" customHeight="1">
      <c r="V67" s="50"/>
      <c r="X67" s="32" t="s">
        <v>171</v>
      </c>
      <c r="Y67" s="32">
        <v>0</v>
      </c>
    </row>
    <row r="68" spans="2:25" ht="20.149999999999999" customHeight="1">
      <c r="X68" s="32" t="s">
        <v>183</v>
      </c>
      <c r="Y68" s="32">
        <v>1</v>
      </c>
    </row>
    <row r="70" spans="2:25" ht="20.149999999999999" customHeight="1">
      <c r="X70" s="51"/>
      <c r="Y70" s="51"/>
    </row>
  </sheetData>
  <mergeCells count="91">
    <mergeCell ref="J29:N30"/>
    <mergeCell ref="O29:Q30"/>
    <mergeCell ref="R29:T29"/>
    <mergeCell ref="F18:U18"/>
    <mergeCell ref="AI56:AI58"/>
    <mergeCell ref="F19:G19"/>
    <mergeCell ref="F34:G35"/>
    <mergeCell ref="J34:N35"/>
    <mergeCell ref="AJ56:AJ58"/>
    <mergeCell ref="AK56:AK58"/>
    <mergeCell ref="N22:N25"/>
    <mergeCell ref="R22:U25"/>
    <mergeCell ref="R34:T34"/>
    <mergeCell ref="P48:P51"/>
    <mergeCell ref="Q48:Q51"/>
    <mergeCell ref="R48:R51"/>
    <mergeCell ref="O34:Q35"/>
    <mergeCell ref="F28:U28"/>
    <mergeCell ref="H22:M24"/>
    <mergeCell ref="F33:U33"/>
    <mergeCell ref="F29:G30"/>
    <mergeCell ref="U48:U51"/>
    <mergeCell ref="O48:O51"/>
    <mergeCell ref="H34:I35"/>
    <mergeCell ref="T3:U3"/>
    <mergeCell ref="H5:S5"/>
    <mergeCell ref="E6:P6"/>
    <mergeCell ref="E9:U9"/>
    <mergeCell ref="I10:L11"/>
    <mergeCell ref="T10:U11"/>
    <mergeCell ref="P3:Q3"/>
    <mergeCell ref="R3:S3"/>
    <mergeCell ref="P1:Q1"/>
    <mergeCell ref="R1:S1"/>
    <mergeCell ref="T1:U1"/>
    <mergeCell ref="P2:Q2"/>
    <mergeCell ref="R2:S2"/>
    <mergeCell ref="T2:U2"/>
    <mergeCell ref="P14:Q15"/>
    <mergeCell ref="R14:S15"/>
    <mergeCell ref="M10:O11"/>
    <mergeCell ref="P10:Q11"/>
    <mergeCell ref="R10:S11"/>
    <mergeCell ref="T14:U15"/>
    <mergeCell ref="E10:E11"/>
    <mergeCell ref="F10:H11"/>
    <mergeCell ref="E54:G59"/>
    <mergeCell ref="H54:S59"/>
    <mergeCell ref="T54:U56"/>
    <mergeCell ref="E14:E15"/>
    <mergeCell ref="F14:H15"/>
    <mergeCell ref="I14:L15"/>
    <mergeCell ref="M14:O15"/>
    <mergeCell ref="E48:E51"/>
    <mergeCell ref="F48:F51"/>
    <mergeCell ref="G48:G51"/>
    <mergeCell ref="H25:M25"/>
    <mergeCell ref="T38:T39"/>
    <mergeCell ref="U38:U39"/>
    <mergeCell ref="X60:Y65"/>
    <mergeCell ref="T57:U59"/>
    <mergeCell ref="E42:U42"/>
    <mergeCell ref="N48:N51"/>
    <mergeCell ref="E43:E45"/>
    <mergeCell ref="F43:F45"/>
    <mergeCell ref="G43:G45"/>
    <mergeCell ref="S48:S51"/>
    <mergeCell ref="T48:T51"/>
    <mergeCell ref="Q43:Q45"/>
    <mergeCell ref="R43:U44"/>
    <mergeCell ref="N43:P44"/>
    <mergeCell ref="J43:M45"/>
    <mergeCell ref="J48:M51"/>
    <mergeCell ref="H48:I51"/>
    <mergeCell ref="H43:I45"/>
    <mergeCell ref="C38:C39"/>
    <mergeCell ref="D38:D39"/>
    <mergeCell ref="R19:U19"/>
    <mergeCell ref="H19:M19"/>
    <mergeCell ref="O19:Q19"/>
    <mergeCell ref="O22:Q25"/>
    <mergeCell ref="F22:G25"/>
    <mergeCell ref="U34:U35"/>
    <mergeCell ref="F38:G39"/>
    <mergeCell ref="H38:I39"/>
    <mergeCell ref="J38:N39"/>
    <mergeCell ref="O38:Q39"/>
    <mergeCell ref="R38:R39"/>
    <mergeCell ref="S38:S39"/>
    <mergeCell ref="U29:U30"/>
    <mergeCell ref="H29:I30"/>
  </mergeCells>
  <printOptions horizontalCentered="1"/>
  <pageMargins left="3.937007874015748E-2" right="3.937007874015748E-2" top="3.937007874015748E-2" bottom="3.937007874015748E-2" header="0.31496062992125984" footer="0.31496062992125984"/>
  <pageSetup paperSize="8" scale="55"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5470E-BD49-4605-B4DF-5643D350DEA8}">
  <sheetPr codeName="Feuil23"/>
  <dimension ref="B1:O43"/>
  <sheetViews>
    <sheetView zoomScale="70" zoomScaleNormal="70" workbookViewId="0">
      <selection activeCell="M7" sqref="M7"/>
    </sheetView>
  </sheetViews>
  <sheetFormatPr defaultColWidth="11.453125" defaultRowHeight="60" customHeight="1"/>
  <cols>
    <col min="1" max="1" width="8.984375E-2" style="23" customWidth="1"/>
    <col min="2" max="2" width="23" style="23" customWidth="1"/>
    <col min="3" max="3" width="18.36328125" style="23" customWidth="1"/>
    <col min="4" max="4" width="24" style="23" customWidth="1"/>
    <col min="5" max="7" width="15.90625" style="23" customWidth="1"/>
    <col min="8" max="8" width="8.984375E-2" style="23" customWidth="1"/>
    <col min="9" max="9" width="11.453125" style="23"/>
    <col min="10" max="10" width="13.90625" style="23" customWidth="1"/>
    <col min="11" max="11" width="5" style="23" bestFit="1" customWidth="1"/>
    <col min="12" max="12" width="11.453125" style="23"/>
    <col min="13" max="13" width="20.6328125" style="23" customWidth="1"/>
    <col min="14" max="14" width="20.6328125" style="28" customWidth="1"/>
    <col min="15" max="16384" width="11.453125" style="23"/>
  </cols>
  <sheetData>
    <row r="1" spans="2:15" ht="20.149999999999999" customHeight="1">
      <c r="B1" s="21"/>
      <c r="C1" s="22"/>
      <c r="D1" s="21"/>
      <c r="E1" s="21"/>
      <c r="F1" s="126" t="str">
        <f>VLOOKUP(": Date",Tp_LANGUAGE!$A$2:$Z$1002,MATCH(Tp_Global!$J$6,Tp_LANGUAGE!$A$1:$Z$1,0),FALSE)</f>
        <v>: Date</v>
      </c>
      <c r="G1" s="126"/>
      <c r="H1" s="40"/>
    </row>
    <row r="2" spans="2:15" ht="20.149999999999999" customHeight="1">
      <c r="B2" s="21"/>
      <c r="C2" s="22"/>
      <c r="D2" s="21"/>
      <c r="E2" s="21"/>
      <c r="F2" s="126" t="str">
        <f>VLOOKUP(": Ref Company",Tp_LANGUAGE!$A$2:$Z$1002,MATCH(Tp_Global!$J$6,Tp_LANGUAGE!$A$1:$Z$1,0),FALSE)</f>
        <v>: Ref Company</v>
      </c>
      <c r="G2" s="126"/>
      <c r="H2" s="40"/>
      <c r="N2" s="23"/>
    </row>
    <row r="3" spans="2:15" ht="20.149999999999999" customHeight="1">
      <c r="B3" s="21"/>
      <c r="C3" s="22"/>
      <c r="D3" s="21"/>
      <c r="E3" s="21"/>
      <c r="F3" s="126" t="str">
        <f>VLOOKUP(": Ref Customer",Tp_LANGUAGE!$A$2:$Z$1002,MATCH(Tp_Global!$J$6,Tp_LANGUAGE!$A$1:$Z$1,0),FALSE)</f>
        <v>: Ref Customer</v>
      </c>
      <c r="G3" s="126"/>
      <c r="H3" s="40"/>
      <c r="N3" s="23"/>
    </row>
    <row r="4" spans="2:15" ht="11.25" customHeight="1">
      <c r="B4" s="21"/>
      <c r="C4" s="22"/>
      <c r="D4" s="21"/>
      <c r="E4" s="21"/>
      <c r="F4" s="24"/>
      <c r="G4" s="24"/>
      <c r="N4" s="23"/>
    </row>
    <row r="5" spans="2:15" ht="11.25" customHeight="1">
      <c r="B5" s="21"/>
      <c r="C5" s="22"/>
      <c r="D5" s="21"/>
      <c r="E5" s="21"/>
      <c r="F5" s="24"/>
      <c r="G5" s="24"/>
      <c r="N5" s="23"/>
    </row>
    <row r="6" spans="2:15" ht="45">
      <c r="B6" s="21"/>
      <c r="C6" s="201" t="str">
        <f>VLOOKUP("WELDMENTS PARTLIST",Tp_LANGUAGE!$A$2:$Z$1002,MATCH(Tp_Global!$J$6,Tp_LANGUAGE!$A$1:$Z$1,0),FALSE)</f>
        <v>WELDMENTS PARTLIST</v>
      </c>
      <c r="D6" s="201"/>
      <c r="E6" s="201"/>
      <c r="F6" s="201"/>
      <c r="H6" s="26"/>
      <c r="N6" s="23"/>
    </row>
    <row r="7" spans="2:15" ht="60" customHeight="1">
      <c r="B7" s="58"/>
      <c r="C7" s="58"/>
      <c r="D7" s="58"/>
      <c r="E7" s="58"/>
      <c r="F7" s="58"/>
      <c r="G7" s="58"/>
      <c r="H7" s="27"/>
      <c r="N7" s="23"/>
    </row>
    <row r="8" spans="2:15" ht="60" customHeight="1">
      <c r="B8" s="206" t="s">
        <v>233</v>
      </c>
      <c r="C8" s="207"/>
      <c r="D8" s="212"/>
      <c r="E8" s="213"/>
      <c r="F8" s="210" t="s">
        <v>243</v>
      </c>
      <c r="G8" s="210"/>
      <c r="H8" s="27"/>
      <c r="N8" s="23"/>
    </row>
    <row r="9" spans="2:15" ht="60" customHeight="1">
      <c r="B9" s="208"/>
      <c r="C9" s="209"/>
      <c r="D9" s="210" t="s">
        <v>480</v>
      </c>
      <c r="E9" s="210"/>
      <c r="F9" s="210"/>
      <c r="G9" s="210"/>
      <c r="H9" s="27"/>
      <c r="N9" s="23"/>
      <c r="O9" s="49"/>
    </row>
    <row r="10" spans="2:15" ht="60" customHeight="1" thickBot="1">
      <c r="B10" s="208"/>
      <c r="C10" s="209"/>
      <c r="D10" s="211"/>
      <c r="E10" s="211"/>
      <c r="F10" s="211"/>
      <c r="G10" s="211"/>
      <c r="H10" s="37"/>
    </row>
    <row r="11" spans="2:15" ht="60" customHeight="1">
      <c r="B11" s="202" t="str">
        <f>VLOOKUP("Picture",Tp_LANGUAGE!$A$2:$Z$1002,MATCH(Tp_Global!$J$6,Tp_LANGUAGE!$A$1:$Z$1,0),FALSE)</f>
        <v>Picture</v>
      </c>
      <c r="C11" s="202" t="str">
        <f>VLOOKUP("Cut List",Tp_LANGUAGE!$A$2:$Z$1002,MATCH(Tp_Global!$J$6,Tp_LANGUAGE!$A$1:$Z$1,0),FALSE)</f>
        <v>Cut List</v>
      </c>
      <c r="D11" s="204" t="str">
        <f>VLOOKUP("Material",Tp_LANGUAGE!$A$2:$Z$1002,MATCH(Tp_Global!$J$6,Tp_LANGUAGE!$A$1:$Z$1,0),FALSE)</f>
        <v>Material</v>
      </c>
      <c r="E11" s="215" t="str">
        <f>VLOOKUP("Dimensions (mm)",Tp_LANGUAGE!$A$2:$Z$1002,MATCH(Tp_Global!$J$6,Tp_LANGUAGE!$A$1:$Z$1,0),FALSE)</f>
        <v>Dimensions (mm)</v>
      </c>
      <c r="F11" s="217"/>
      <c r="G11" s="218" t="str">
        <f>VLOOKUP("Qty (U)",Tp_LANGUAGE!$A$2:$Z$1002,MATCH(Tp_Global!$J$6,Tp_LANGUAGE!$A$1:$Z$1,0),FALSE)</f>
        <v>Qty (U)</v>
      </c>
      <c r="H11" s="50"/>
      <c r="J11" s="163" t="s">
        <v>55</v>
      </c>
      <c r="K11" s="163"/>
    </row>
    <row r="12" spans="2:15" ht="60" customHeight="1" thickBot="1">
      <c r="B12" s="203"/>
      <c r="C12" s="203"/>
      <c r="D12" s="205"/>
      <c r="E12" s="29" t="str">
        <f>VLOOKUP("Length",Tp_LANGUAGE!$A$2:$Z$1002,MATCH(Tp_Global!$J$6,Tp_LANGUAGE!$A$1:$Z$1,0),FALSE)</f>
        <v>Length</v>
      </c>
      <c r="F12" s="31" t="str">
        <f>VLOOKUP("Total Length",Tp_LANGUAGE!$A$2:$Z$1002,MATCH(Tp_Global!$J$6,Tp_LANGUAGE!$A$1:$Z$1,0),FALSE)</f>
        <v>Total Length</v>
      </c>
      <c r="G12" s="219"/>
      <c r="H12" s="50"/>
      <c r="J12" s="163"/>
      <c r="K12" s="163"/>
    </row>
    <row r="13" spans="2:15" ht="60" customHeight="1">
      <c r="B13" s="32" t="s">
        <v>481</v>
      </c>
      <c r="C13" s="32" t="s">
        <v>482</v>
      </c>
      <c r="D13" s="32" t="s">
        <v>483</v>
      </c>
      <c r="E13" s="32" t="s">
        <v>484</v>
      </c>
      <c r="F13" s="32" t="s">
        <v>485</v>
      </c>
      <c r="G13" s="32" t="s">
        <v>486</v>
      </c>
      <c r="H13" s="51"/>
      <c r="J13" s="32" t="s">
        <v>170</v>
      </c>
      <c r="K13" s="32">
        <v>1</v>
      </c>
    </row>
    <row r="14" spans="2:15" ht="60" customHeight="1">
      <c r="F14" s="34"/>
      <c r="J14" s="32" t="s">
        <v>171</v>
      </c>
      <c r="K14" s="32">
        <v>0</v>
      </c>
    </row>
    <row r="15" spans="2:15" ht="60" customHeight="1">
      <c r="J15" s="32" t="s">
        <v>183</v>
      </c>
      <c r="K15" s="32">
        <v>1</v>
      </c>
    </row>
    <row r="17" spans="14:14" ht="60" customHeight="1">
      <c r="N17" s="23"/>
    </row>
    <row r="18" spans="14:14" ht="60" customHeight="1">
      <c r="N18" s="23"/>
    </row>
    <row r="19" spans="14:14" ht="60" customHeight="1">
      <c r="N19" s="23"/>
    </row>
    <row r="20" spans="14:14" ht="60" customHeight="1">
      <c r="N20" s="23"/>
    </row>
    <row r="21" spans="14:14" ht="60" customHeight="1">
      <c r="N21" s="23"/>
    </row>
    <row r="22" spans="14:14" ht="60" customHeight="1">
      <c r="N22" s="23"/>
    </row>
    <row r="23" spans="14:14" ht="60" customHeight="1">
      <c r="N23" s="23"/>
    </row>
    <row r="24" spans="14:14" ht="60" customHeight="1">
      <c r="N24" s="23"/>
    </row>
    <row r="25" spans="14:14" ht="60" customHeight="1">
      <c r="N25" s="23"/>
    </row>
    <row r="26" spans="14:14" ht="60" customHeight="1">
      <c r="N26" s="23"/>
    </row>
    <row r="27" spans="14:14" ht="60" customHeight="1">
      <c r="N27" s="23"/>
    </row>
    <row r="28" spans="14:14" ht="60" customHeight="1">
      <c r="N28" s="23"/>
    </row>
    <row r="29" spans="14:14" ht="60" customHeight="1">
      <c r="N29" s="23"/>
    </row>
    <row r="30" spans="14:14" ht="60" customHeight="1">
      <c r="N30" s="23"/>
    </row>
    <row r="31" spans="14:14" ht="60" customHeight="1">
      <c r="N31" s="23"/>
    </row>
    <row r="32" spans="14:14" ht="60" customHeight="1">
      <c r="N32" s="23"/>
    </row>
    <row r="33" spans="14:14" ht="60" customHeight="1">
      <c r="N33" s="23"/>
    </row>
    <row r="34" spans="14:14" ht="60" customHeight="1">
      <c r="N34" s="23"/>
    </row>
    <row r="35" spans="14:14" ht="60" customHeight="1">
      <c r="N35" s="23"/>
    </row>
    <row r="36" spans="14:14" ht="60" customHeight="1">
      <c r="N36" s="23"/>
    </row>
    <row r="37" spans="14:14" ht="60" customHeight="1">
      <c r="N37" s="23"/>
    </row>
    <row r="38" spans="14:14" ht="60" customHeight="1">
      <c r="N38" s="23"/>
    </row>
    <row r="39" spans="14:14" ht="60" customHeight="1">
      <c r="N39" s="23"/>
    </row>
    <row r="40" spans="14:14" ht="60" customHeight="1">
      <c r="N40" s="23"/>
    </row>
    <row r="41" spans="14:14" ht="60" customHeight="1">
      <c r="N41" s="23"/>
    </row>
    <row r="42" spans="14:14" ht="60" customHeight="1">
      <c r="N42" s="23"/>
    </row>
    <row r="43" spans="14:14" ht="60" customHeight="1">
      <c r="N43" s="23"/>
    </row>
  </sheetData>
  <mergeCells count="14">
    <mergeCell ref="J11:K12"/>
    <mergeCell ref="F1:G1"/>
    <mergeCell ref="F2:G2"/>
    <mergeCell ref="F3:G3"/>
    <mergeCell ref="C6:F6"/>
    <mergeCell ref="B8:C10"/>
    <mergeCell ref="D8:E8"/>
    <mergeCell ref="F8:G8"/>
    <mergeCell ref="D9:G10"/>
    <mergeCell ref="B11:B12"/>
    <mergeCell ref="C11:C12"/>
    <mergeCell ref="D11:D12"/>
    <mergeCell ref="E11:F11"/>
    <mergeCell ref="G11:G12"/>
  </mergeCells>
  <conditionalFormatting sqref="H13">
    <cfRule type="expression" dxfId="11" priority="1" stopIfTrue="1">
      <formula>#REF!="PREPA"</formula>
    </cfRule>
  </conditionalFormatting>
  <printOptions horizontalCentered="1"/>
  <pageMargins left="3.937007874015748E-2" right="3.937007874015748E-2" top="3.937007874015748E-2" bottom="3.937007874015748E-2" header="0.31496062992125984" footer="0.31496062992125984"/>
  <pageSetup paperSize="8"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5C99-DFF1-416F-8E64-D276EFC5E41B}">
  <sheetPr codeName="Feuil17"/>
  <dimension ref="A1:X1021"/>
  <sheetViews>
    <sheetView zoomScale="148" zoomScaleNormal="148" workbookViewId="0">
      <selection activeCell="E15" sqref="E15"/>
    </sheetView>
  </sheetViews>
  <sheetFormatPr defaultColWidth="11.453125" defaultRowHeight="15.65" customHeight="1"/>
  <cols>
    <col min="1" max="1" width="12" style="23" customWidth="1"/>
    <col min="2" max="2" width="3.08984375" style="23" customWidth="1"/>
    <col min="3" max="4" width="10.453125" style="23" customWidth="1"/>
    <col min="5" max="5" width="3.08984375" style="23" customWidth="1"/>
    <col min="6" max="6" width="12" style="23" customWidth="1"/>
    <col min="7" max="7" width="0.453125" style="23" customWidth="1"/>
    <col min="8" max="8" width="12" style="23" customWidth="1"/>
    <col min="9" max="9" width="3.08984375" style="23" customWidth="1"/>
    <col min="10" max="11" width="10.453125" style="23" customWidth="1"/>
    <col min="12" max="12" width="3.08984375" style="23" customWidth="1"/>
    <col min="13" max="13" width="12" style="23" customWidth="1"/>
    <col min="14" max="14" width="0.453125" style="23" customWidth="1"/>
    <col min="15" max="16384" width="11.453125" style="23"/>
  </cols>
  <sheetData>
    <row r="1" spans="1:24" ht="2.9" customHeight="1">
      <c r="A1" s="58"/>
      <c r="B1" s="58"/>
      <c r="C1" s="58"/>
      <c r="D1" s="58"/>
      <c r="E1" s="58"/>
      <c r="F1" s="58"/>
      <c r="G1" s="58"/>
      <c r="H1" s="58"/>
      <c r="I1" s="58"/>
      <c r="J1" s="58"/>
      <c r="K1" s="58"/>
      <c r="L1" s="58"/>
      <c r="M1" s="58"/>
      <c r="N1" s="58"/>
    </row>
    <row r="2" spans="1:24" ht="15" customHeight="1">
      <c r="A2" s="94" t="s">
        <v>521</v>
      </c>
      <c r="B2" s="181" t="s">
        <v>525</v>
      </c>
      <c r="C2" s="181"/>
      <c r="D2" s="182"/>
      <c r="E2" s="182"/>
      <c r="F2" s="93" t="s">
        <v>522</v>
      </c>
      <c r="H2" s="94"/>
      <c r="I2" s="181"/>
      <c r="J2" s="181"/>
      <c r="K2" s="182"/>
      <c r="L2" s="182"/>
      <c r="M2" s="93"/>
    </row>
    <row r="3" spans="1:24" ht="15" customHeight="1">
      <c r="A3" s="183" t="s">
        <v>516</v>
      </c>
      <c r="B3" s="185" t="s">
        <v>518</v>
      </c>
      <c r="C3" s="179" t="s">
        <v>513</v>
      </c>
      <c r="D3" s="180"/>
      <c r="E3" s="186" t="s">
        <v>514</v>
      </c>
      <c r="F3" s="168" t="s">
        <v>517</v>
      </c>
      <c r="H3" s="183"/>
      <c r="I3" s="187"/>
      <c r="J3" s="188"/>
      <c r="K3" s="189"/>
      <c r="L3" s="167"/>
      <c r="M3" s="168"/>
      <c r="P3" s="169" t="s">
        <v>55</v>
      </c>
      <c r="Q3" s="170"/>
      <c r="S3" s="142" t="s">
        <v>4</v>
      </c>
      <c r="T3" s="143"/>
      <c r="U3" s="143"/>
      <c r="V3" s="143"/>
      <c r="W3" s="143"/>
      <c r="X3" s="144"/>
    </row>
    <row r="4" spans="1:24" ht="15" customHeight="1">
      <c r="A4" s="184"/>
      <c r="B4" s="185"/>
      <c r="C4" s="173" t="s">
        <v>524</v>
      </c>
      <c r="D4" s="174"/>
      <c r="E4" s="186"/>
      <c r="F4" s="168"/>
      <c r="H4" s="184"/>
      <c r="I4" s="187"/>
      <c r="J4" s="173"/>
      <c r="K4" s="174"/>
      <c r="L4" s="167"/>
      <c r="M4" s="168"/>
      <c r="P4" s="171"/>
      <c r="Q4" s="172"/>
      <c r="S4" s="49" t="s">
        <v>157</v>
      </c>
    </row>
    <row r="5" spans="1:24" ht="15" customHeight="1">
      <c r="A5" s="184"/>
      <c r="B5" s="185"/>
      <c r="C5" s="175"/>
      <c r="D5" s="176"/>
      <c r="E5" s="186"/>
      <c r="F5" s="168"/>
      <c r="H5" s="184"/>
      <c r="I5" s="187"/>
      <c r="J5" s="175"/>
      <c r="K5" s="176"/>
      <c r="L5" s="167"/>
      <c r="M5" s="168"/>
      <c r="P5" s="32" t="s">
        <v>170</v>
      </c>
      <c r="Q5" s="32">
        <v>2</v>
      </c>
      <c r="S5" s="32" t="s">
        <v>156</v>
      </c>
    </row>
    <row r="6" spans="1:24" ht="15" customHeight="1">
      <c r="A6" s="184"/>
      <c r="B6" s="185"/>
      <c r="C6" s="175"/>
      <c r="D6" s="176"/>
      <c r="E6" s="186"/>
      <c r="F6" s="168"/>
      <c r="H6" s="184"/>
      <c r="I6" s="187"/>
      <c r="J6" s="175"/>
      <c r="K6" s="176"/>
      <c r="L6" s="167"/>
      <c r="M6" s="168"/>
      <c r="P6" s="32" t="s">
        <v>171</v>
      </c>
      <c r="Q6" s="32">
        <v>0</v>
      </c>
    </row>
    <row r="7" spans="1:24" ht="15" customHeight="1">
      <c r="A7" s="184"/>
      <c r="B7" s="185"/>
      <c r="C7" s="177"/>
      <c r="D7" s="178"/>
      <c r="E7" s="186"/>
      <c r="F7" s="168"/>
      <c r="H7" s="184"/>
      <c r="I7" s="187"/>
      <c r="J7" s="177"/>
      <c r="K7" s="178"/>
      <c r="L7" s="167"/>
      <c r="M7" s="168"/>
      <c r="P7" s="32" t="s">
        <v>183</v>
      </c>
      <c r="Q7" s="32">
        <v>0</v>
      </c>
    </row>
    <row r="8" spans="1:24" ht="15" customHeight="1">
      <c r="A8" s="75"/>
      <c r="B8" s="185"/>
      <c r="C8" s="179" t="s">
        <v>512</v>
      </c>
      <c r="D8" s="180"/>
      <c r="E8" s="186"/>
      <c r="F8" s="91"/>
      <c r="H8" s="75"/>
      <c r="I8" s="187"/>
      <c r="J8" s="164"/>
      <c r="K8" s="166"/>
      <c r="L8" s="167"/>
      <c r="M8" s="91"/>
    </row>
    <row r="9" spans="1:24" ht="15" customHeight="1">
      <c r="A9" s="164" t="s">
        <v>520</v>
      </c>
      <c r="B9" s="165"/>
      <c r="C9" s="166"/>
      <c r="D9" s="164" t="s">
        <v>523</v>
      </c>
      <c r="E9" s="165"/>
      <c r="F9" s="166"/>
      <c r="H9" s="164"/>
      <c r="I9" s="165"/>
      <c r="J9" s="166"/>
      <c r="K9" s="164"/>
      <c r="L9" s="165"/>
      <c r="M9" s="166"/>
    </row>
    <row r="10" spans="1:24" ht="15" customHeight="1">
      <c r="A10" s="164" t="s">
        <v>519</v>
      </c>
      <c r="B10" s="165"/>
      <c r="C10" s="166"/>
      <c r="D10" s="164" t="s">
        <v>519</v>
      </c>
      <c r="E10" s="165"/>
      <c r="F10" s="166"/>
      <c r="G10" s="92"/>
      <c r="H10" s="164"/>
      <c r="I10" s="165"/>
      <c r="J10" s="166"/>
      <c r="K10" s="164"/>
      <c r="L10" s="165"/>
      <c r="M10" s="166"/>
    </row>
    <row r="11" spans="1:24" ht="2.9" customHeight="1"/>
    <row r="12" spans="1:24" ht="15" customHeight="1"/>
    <row r="13" spans="1:24" ht="15" customHeight="1"/>
    <row r="14" spans="1:24" ht="15" customHeight="1"/>
    <row r="15" spans="1:24" ht="15" customHeight="1"/>
    <row r="16" spans="1:24" ht="15" customHeight="1"/>
    <row r="17" ht="15" customHeight="1"/>
    <row r="18" ht="15" customHeight="1"/>
    <row r="19" ht="15" customHeight="1"/>
    <row r="20" ht="15" customHeight="1"/>
    <row r="21" ht="2.9" customHeight="1"/>
    <row r="22" ht="15" customHeight="1"/>
    <row r="23" ht="15" customHeight="1"/>
    <row r="24" ht="15" customHeight="1"/>
    <row r="25" ht="15" customHeight="1"/>
    <row r="26" ht="15" customHeight="1"/>
    <row r="27" ht="15" customHeight="1"/>
    <row r="28" ht="15" customHeight="1"/>
    <row r="29" ht="15" customHeight="1"/>
    <row r="30" ht="15" customHeight="1"/>
    <row r="31" ht="2.9" customHeight="1"/>
    <row r="32" ht="15" customHeight="1"/>
    <row r="33" ht="15" customHeight="1"/>
    <row r="34" ht="15" customHeight="1"/>
    <row r="35" ht="15" customHeight="1"/>
    <row r="36" ht="15" customHeight="1"/>
    <row r="37" ht="15" customHeight="1"/>
    <row r="38" ht="15" customHeight="1"/>
    <row r="39" ht="15" customHeight="1"/>
    <row r="40" ht="15" customHeight="1"/>
    <row r="41" ht="2.9" customHeight="1"/>
    <row r="42" ht="15" customHeight="1"/>
    <row r="43" ht="15" customHeight="1"/>
    <row r="44" ht="15" customHeight="1"/>
    <row r="45" ht="15" customHeight="1"/>
    <row r="46" ht="15" customHeight="1"/>
    <row r="47" ht="15" customHeight="1"/>
    <row r="48" ht="15" customHeight="1"/>
    <row r="49" ht="15" customHeight="1"/>
    <row r="50" ht="15" customHeight="1"/>
    <row r="51" ht="2.9" customHeight="1"/>
    <row r="52" ht="15" customHeight="1"/>
    <row r="53" ht="15" customHeight="1"/>
    <row r="54" ht="15" customHeight="1"/>
    <row r="55" ht="15" customHeight="1"/>
    <row r="56" ht="15" customHeight="1"/>
    <row r="57" ht="15" customHeight="1"/>
    <row r="58" ht="15" customHeight="1"/>
    <row r="59" ht="15" customHeight="1"/>
    <row r="60" ht="15" customHeight="1"/>
    <row r="61" ht="2.9" customHeight="1"/>
    <row r="62" ht="15" customHeight="1"/>
    <row r="63" ht="15" customHeight="1"/>
    <row r="64" ht="15" customHeight="1"/>
    <row r="65" ht="15" customHeight="1"/>
    <row r="66" ht="15" customHeight="1"/>
    <row r="67" ht="15" customHeight="1"/>
    <row r="68" ht="15" customHeight="1"/>
    <row r="69" ht="15" customHeight="1"/>
    <row r="70" ht="15" customHeight="1"/>
    <row r="71" ht="2.9" customHeight="1"/>
    <row r="72" ht="15" customHeight="1"/>
    <row r="73" ht="15" customHeight="1"/>
    <row r="74" ht="15" customHeight="1"/>
    <row r="75" ht="15" customHeight="1"/>
    <row r="76" ht="15" customHeight="1"/>
    <row r="77" ht="15" customHeight="1"/>
    <row r="78" ht="15" customHeight="1"/>
    <row r="79" ht="15" customHeight="1"/>
    <row r="80" ht="15" customHeight="1"/>
    <row r="81" ht="2.9" customHeight="1"/>
    <row r="82" ht="15" customHeight="1"/>
    <row r="83" ht="15" customHeight="1"/>
    <row r="84" ht="15" customHeight="1"/>
    <row r="85" ht="15" customHeight="1"/>
    <row r="86" ht="15" customHeight="1"/>
    <row r="87" ht="15" customHeight="1"/>
    <row r="88" ht="15" customHeight="1"/>
    <row r="89" ht="15" customHeight="1"/>
    <row r="90" ht="15" customHeight="1"/>
    <row r="91" ht="2.9" customHeight="1"/>
    <row r="92" ht="15" customHeight="1"/>
    <row r="93" ht="15" customHeight="1"/>
    <row r="94" ht="15" customHeight="1"/>
    <row r="95" ht="15" customHeight="1"/>
    <row r="96" ht="15" customHeight="1"/>
    <row r="97" ht="15" customHeight="1"/>
    <row r="98" ht="15" customHeight="1"/>
    <row r="99" ht="15" customHeight="1"/>
    <row r="100" ht="15" customHeight="1"/>
    <row r="101" ht="2.9" customHeight="1"/>
    <row r="102" ht="15" customHeight="1"/>
    <row r="103" ht="15" customHeight="1"/>
    <row r="104" ht="15" customHeight="1"/>
    <row r="105" ht="15" customHeight="1"/>
    <row r="106" ht="15" customHeight="1"/>
    <row r="107" ht="15" customHeight="1"/>
    <row r="108" ht="15" customHeight="1"/>
    <row r="109" ht="15" customHeight="1"/>
    <row r="110" ht="15" customHeight="1"/>
    <row r="111" ht="2.9" customHeight="1"/>
    <row r="112" ht="15" customHeight="1"/>
    <row r="113" ht="15" customHeight="1"/>
    <row r="114" ht="15" customHeight="1"/>
    <row r="115" ht="15" customHeight="1"/>
    <row r="116" ht="15" customHeight="1"/>
    <row r="117" ht="15" customHeight="1"/>
    <row r="118" ht="15" customHeight="1"/>
    <row r="119" ht="15" customHeight="1"/>
    <row r="120" ht="15" customHeight="1"/>
    <row r="121" ht="2.9" customHeight="1"/>
    <row r="122" ht="15" customHeight="1"/>
    <row r="123" ht="15" customHeight="1"/>
    <row r="124" ht="15" customHeight="1"/>
    <row r="125" ht="15" customHeight="1"/>
    <row r="126" ht="15" customHeight="1"/>
    <row r="127" ht="15" customHeight="1"/>
    <row r="128" ht="15" customHeight="1"/>
    <row r="129" ht="15" customHeight="1"/>
    <row r="130" ht="15" customHeight="1"/>
    <row r="131" ht="2.9" customHeight="1"/>
    <row r="132" ht="15" customHeight="1"/>
    <row r="133" ht="15" customHeight="1"/>
    <row r="134" ht="15" customHeight="1"/>
    <row r="135" ht="15" customHeight="1"/>
    <row r="136" ht="15" customHeight="1"/>
    <row r="137" ht="15" customHeight="1"/>
    <row r="138" ht="15" customHeight="1"/>
    <row r="139" ht="15" customHeight="1"/>
    <row r="140" ht="15" customHeight="1"/>
    <row r="141" ht="2.9" customHeight="1"/>
    <row r="142" ht="15" customHeight="1"/>
    <row r="143" ht="15" customHeight="1"/>
    <row r="144" ht="15" customHeight="1"/>
    <row r="145" ht="15" customHeight="1"/>
    <row r="146" ht="15" customHeight="1"/>
    <row r="147" ht="15" customHeight="1"/>
    <row r="148" ht="15" customHeight="1"/>
    <row r="149" ht="15" customHeight="1"/>
    <row r="150" ht="15" customHeight="1"/>
    <row r="151" ht="2.9" customHeight="1"/>
    <row r="152" ht="15" customHeight="1"/>
    <row r="153" ht="15" customHeight="1"/>
    <row r="154" ht="15" customHeight="1"/>
    <row r="155" ht="15" customHeight="1"/>
    <row r="156" ht="15" customHeight="1"/>
    <row r="157" ht="15" customHeight="1"/>
    <row r="158" ht="15" customHeight="1"/>
    <row r="159" ht="15" customHeight="1"/>
    <row r="160" ht="15" customHeight="1"/>
    <row r="161" ht="2.9" customHeight="1"/>
    <row r="162" ht="15" customHeight="1"/>
    <row r="163" ht="15" customHeight="1"/>
    <row r="164" ht="15" customHeight="1"/>
    <row r="165" ht="15" customHeight="1"/>
    <row r="166" ht="15" customHeight="1"/>
    <row r="167" ht="15" customHeight="1"/>
    <row r="168" ht="15" customHeight="1"/>
    <row r="169" ht="15" customHeight="1"/>
    <row r="170" ht="15" customHeight="1"/>
    <row r="171" ht="2.9" customHeight="1"/>
    <row r="172" ht="15" customHeight="1"/>
    <row r="173" ht="15" customHeight="1"/>
    <row r="174" ht="15" customHeight="1"/>
    <row r="175" ht="15" customHeight="1"/>
    <row r="176" ht="15" customHeight="1"/>
    <row r="177" ht="15" customHeight="1"/>
    <row r="178" ht="15" customHeight="1"/>
    <row r="179" ht="15" customHeight="1"/>
    <row r="180" ht="15" customHeight="1"/>
    <row r="181" ht="2.9" customHeight="1"/>
    <row r="182" ht="15" customHeight="1"/>
    <row r="183" ht="15" customHeight="1"/>
    <row r="184" ht="15" customHeight="1"/>
    <row r="185" ht="15" customHeight="1"/>
    <row r="186" ht="15" customHeight="1"/>
    <row r="187" ht="15" customHeight="1"/>
    <row r="188" ht="15" customHeight="1"/>
    <row r="189" ht="15" customHeight="1"/>
    <row r="190" ht="15" customHeight="1"/>
    <row r="191" ht="2.9" customHeight="1"/>
    <row r="192" ht="15" customHeight="1"/>
    <row r="193" ht="15" customHeight="1"/>
    <row r="194" ht="15" customHeight="1"/>
    <row r="195" ht="15" customHeight="1"/>
    <row r="196" ht="15" customHeight="1"/>
    <row r="197" ht="15" customHeight="1"/>
    <row r="198" ht="15" customHeight="1"/>
    <row r="199" ht="15" customHeight="1"/>
    <row r="200" ht="15" customHeight="1"/>
    <row r="201" ht="2.9" customHeight="1"/>
    <row r="202" ht="15" customHeight="1"/>
    <row r="203" ht="15" customHeight="1"/>
    <row r="204" ht="15" customHeight="1"/>
    <row r="205" ht="15" customHeight="1"/>
    <row r="206" ht="15" customHeight="1"/>
    <row r="207" ht="15" customHeight="1"/>
    <row r="208" ht="15" customHeight="1"/>
    <row r="209" ht="15" customHeight="1"/>
    <row r="210" ht="15" customHeight="1"/>
    <row r="211" ht="2.9" customHeight="1"/>
    <row r="212" ht="15" customHeight="1"/>
    <row r="213" ht="15" customHeight="1"/>
    <row r="214" ht="15" customHeight="1"/>
    <row r="215" ht="15" customHeight="1"/>
    <row r="216" ht="15" customHeight="1"/>
    <row r="217" ht="15" customHeight="1"/>
    <row r="218" ht="15" customHeight="1"/>
    <row r="219" ht="15" customHeight="1"/>
    <row r="220" ht="15" customHeight="1"/>
    <row r="221" ht="2.9" customHeight="1"/>
    <row r="222" ht="15" customHeight="1"/>
    <row r="223" ht="15" customHeight="1"/>
    <row r="224" ht="15" customHeight="1"/>
    <row r="225" ht="15" customHeight="1"/>
    <row r="226" ht="15" customHeight="1"/>
    <row r="227" ht="15" customHeight="1"/>
    <row r="228" ht="15" customHeight="1"/>
    <row r="229" ht="15" customHeight="1"/>
    <row r="230" ht="15" customHeight="1"/>
    <row r="231" ht="2.9" customHeight="1"/>
    <row r="232" ht="15" customHeight="1"/>
    <row r="233" ht="15" customHeight="1"/>
    <row r="234" ht="15" customHeight="1"/>
    <row r="235" ht="15" customHeight="1"/>
    <row r="236" ht="15" customHeight="1"/>
    <row r="237" ht="15" customHeight="1"/>
    <row r="238" ht="15" customHeight="1"/>
    <row r="239" ht="15" customHeight="1"/>
    <row r="240" ht="15" customHeight="1"/>
    <row r="241" ht="2.9" customHeight="1"/>
    <row r="242" ht="15" customHeight="1"/>
    <row r="243" ht="15" customHeight="1"/>
    <row r="244" ht="15" customHeight="1"/>
    <row r="245" ht="15" customHeight="1"/>
    <row r="246" ht="15" customHeight="1"/>
    <row r="247" ht="15" customHeight="1"/>
    <row r="248" ht="15" customHeight="1"/>
    <row r="249" ht="15" customHeight="1"/>
    <row r="250" ht="15" customHeight="1"/>
    <row r="251" ht="2.9" customHeight="1"/>
    <row r="252" ht="15" customHeight="1"/>
    <row r="253" ht="15" customHeight="1"/>
    <row r="254" ht="15" customHeight="1"/>
    <row r="255" ht="15" customHeight="1"/>
    <row r="256" ht="15" customHeight="1"/>
    <row r="257" ht="15" customHeight="1"/>
    <row r="258" ht="15" customHeight="1"/>
    <row r="259" ht="15" customHeight="1"/>
    <row r="260" ht="15" customHeight="1"/>
    <row r="261" ht="2.9" customHeight="1"/>
    <row r="262" ht="15" customHeight="1"/>
    <row r="263" ht="15" customHeight="1"/>
    <row r="264" ht="15" customHeight="1"/>
    <row r="265" ht="15" customHeight="1"/>
    <row r="266" ht="15" customHeight="1"/>
    <row r="267" ht="15" customHeight="1"/>
    <row r="268" ht="15" customHeight="1"/>
    <row r="269" ht="15" customHeight="1"/>
    <row r="270" ht="15" customHeight="1"/>
    <row r="271" ht="2.9" customHeight="1"/>
    <row r="272" ht="15" customHeight="1"/>
    <row r="273" ht="15" customHeight="1"/>
    <row r="274" ht="15" customHeight="1"/>
    <row r="275" ht="15" customHeight="1"/>
    <row r="276" ht="15" customHeight="1"/>
    <row r="277" ht="15" customHeight="1"/>
    <row r="278" ht="15" customHeight="1"/>
    <row r="279" ht="15" customHeight="1"/>
    <row r="280" ht="15" customHeight="1"/>
    <row r="281" ht="2.9" customHeight="1"/>
    <row r="282" ht="15" customHeight="1"/>
    <row r="283" ht="15" customHeight="1"/>
    <row r="284" ht="15" customHeight="1"/>
    <row r="285" ht="15" customHeight="1"/>
    <row r="286" ht="15" customHeight="1"/>
    <row r="287" ht="15" customHeight="1"/>
    <row r="288" ht="15" customHeight="1"/>
    <row r="289" ht="15" customHeight="1"/>
    <row r="290" ht="15" customHeight="1"/>
    <row r="291" ht="2.9" customHeight="1"/>
    <row r="292" ht="15" customHeight="1"/>
    <row r="293" ht="15" customHeight="1"/>
    <row r="294" ht="15" customHeight="1"/>
    <row r="295" ht="15" customHeight="1"/>
    <row r="296" ht="15" customHeight="1"/>
    <row r="297" ht="15" customHeight="1"/>
    <row r="298" ht="15" customHeight="1"/>
    <row r="299" ht="15" customHeight="1"/>
    <row r="300" ht="15" customHeight="1"/>
    <row r="301" ht="2.9" customHeight="1"/>
    <row r="302" ht="15" customHeight="1"/>
    <row r="303" ht="15" customHeight="1"/>
    <row r="304" ht="15" customHeight="1"/>
    <row r="305" ht="15" customHeight="1"/>
    <row r="306" ht="15" customHeight="1"/>
    <row r="307" ht="15" customHeight="1"/>
    <row r="308" ht="15" customHeight="1"/>
    <row r="309" ht="15" customHeight="1"/>
    <row r="310" ht="15" customHeight="1"/>
    <row r="311" ht="2.9" customHeight="1"/>
    <row r="312" ht="15" customHeight="1"/>
    <row r="313" ht="15" customHeight="1"/>
    <row r="314" ht="15" customHeight="1"/>
    <row r="315" ht="15" customHeight="1"/>
    <row r="316" ht="15" customHeight="1"/>
    <row r="317" ht="15" customHeight="1"/>
    <row r="318" ht="15" customHeight="1"/>
    <row r="319" ht="15" customHeight="1"/>
    <row r="320" ht="15" customHeight="1"/>
    <row r="321" ht="2.9" customHeight="1"/>
    <row r="322" ht="15" customHeight="1"/>
    <row r="323" ht="15" customHeight="1"/>
    <row r="324" ht="15" customHeight="1"/>
    <row r="325" ht="15" customHeight="1"/>
    <row r="326" ht="15" customHeight="1"/>
    <row r="327" ht="15" customHeight="1"/>
    <row r="328" ht="15" customHeight="1"/>
    <row r="329" ht="15" customHeight="1"/>
    <row r="330" ht="15" customHeight="1"/>
    <row r="331" ht="2.9" customHeight="1"/>
    <row r="332" ht="15" customHeight="1"/>
    <row r="333" ht="15" customHeight="1"/>
    <row r="334" ht="15" customHeight="1"/>
    <row r="335" ht="15" customHeight="1"/>
    <row r="336" ht="15" customHeight="1"/>
    <row r="337" ht="15" customHeight="1"/>
    <row r="338" ht="15" customHeight="1"/>
    <row r="339" ht="15" customHeight="1"/>
    <row r="340" ht="15" customHeight="1"/>
    <row r="341" ht="2.9" customHeight="1"/>
    <row r="342" ht="15" customHeight="1"/>
    <row r="343" ht="15" customHeight="1"/>
    <row r="344" ht="15" customHeight="1"/>
    <row r="345" ht="15" customHeight="1"/>
    <row r="346" ht="15" customHeight="1"/>
    <row r="347" ht="15" customHeight="1"/>
    <row r="348" ht="15" customHeight="1"/>
    <row r="349" ht="15" customHeight="1"/>
    <row r="350" ht="15" customHeight="1"/>
    <row r="351" ht="2.9" customHeight="1"/>
    <row r="352" ht="15" customHeight="1"/>
    <row r="353" ht="15" customHeight="1"/>
    <row r="354" ht="15" customHeight="1"/>
    <row r="355" ht="15" customHeight="1"/>
    <row r="356" ht="15" customHeight="1"/>
    <row r="357" ht="15" customHeight="1"/>
    <row r="358" ht="15" customHeight="1"/>
    <row r="359" ht="15" customHeight="1"/>
    <row r="360" ht="15" customHeight="1"/>
    <row r="361" ht="2.9" customHeight="1"/>
    <row r="362" ht="15" customHeight="1"/>
    <row r="363" ht="15" customHeight="1"/>
    <row r="364" ht="15" customHeight="1"/>
    <row r="365" ht="15" customHeight="1"/>
    <row r="366" ht="15" customHeight="1"/>
    <row r="367" ht="15" customHeight="1"/>
    <row r="368" ht="15" customHeight="1"/>
    <row r="369" ht="15" customHeight="1"/>
    <row r="370" ht="15" customHeight="1"/>
    <row r="371" ht="2.9" customHeight="1"/>
    <row r="372" ht="15" customHeight="1"/>
    <row r="373" ht="15" customHeight="1"/>
    <row r="374" ht="15" customHeight="1"/>
    <row r="375" ht="15" customHeight="1"/>
    <row r="376" ht="15" customHeight="1"/>
    <row r="377" ht="15" customHeight="1"/>
    <row r="378" ht="15" customHeight="1"/>
    <row r="379" ht="15" customHeight="1"/>
    <row r="380" ht="15" customHeight="1"/>
    <row r="381" ht="2.9" customHeight="1"/>
    <row r="382" ht="15" customHeight="1"/>
    <row r="383" ht="15" customHeight="1"/>
    <row r="384" ht="15" customHeight="1"/>
    <row r="385" ht="15" customHeight="1"/>
    <row r="386" ht="15" customHeight="1"/>
    <row r="387" ht="15" customHeight="1"/>
    <row r="388" ht="15" customHeight="1"/>
    <row r="389" ht="15" customHeight="1"/>
    <row r="390" ht="15" customHeight="1"/>
    <row r="391" ht="2.9" customHeight="1"/>
    <row r="392" ht="15" customHeight="1"/>
    <row r="393" ht="15" customHeight="1"/>
    <row r="394" ht="15" customHeight="1"/>
    <row r="395" ht="15" customHeight="1"/>
    <row r="396" ht="15" customHeight="1"/>
    <row r="397" ht="15" customHeight="1"/>
    <row r="398" ht="15" customHeight="1"/>
    <row r="399" ht="15" customHeight="1"/>
    <row r="400" ht="15" customHeight="1"/>
    <row r="401" ht="2.9" customHeight="1"/>
    <row r="402" ht="15" customHeight="1"/>
    <row r="403" ht="15" customHeight="1"/>
    <row r="404" ht="15" customHeight="1"/>
    <row r="405" ht="15" customHeight="1"/>
    <row r="406" ht="15" customHeight="1"/>
    <row r="407" ht="15" customHeight="1"/>
    <row r="408" ht="15" customHeight="1"/>
    <row r="409" ht="15" customHeight="1"/>
    <row r="410" ht="15" customHeight="1"/>
    <row r="411" ht="2.9" customHeight="1"/>
    <row r="412" ht="15" customHeight="1"/>
    <row r="413" ht="15" customHeight="1"/>
    <row r="414" ht="15" customHeight="1"/>
    <row r="415" ht="15" customHeight="1"/>
    <row r="416" ht="15" customHeight="1"/>
    <row r="417" ht="15" customHeight="1"/>
    <row r="418" ht="15" customHeight="1"/>
    <row r="419" ht="15" customHeight="1"/>
    <row r="420" ht="15" customHeight="1"/>
    <row r="421" ht="2.9" customHeight="1"/>
    <row r="422" ht="15" customHeight="1"/>
    <row r="423" ht="15" customHeight="1"/>
    <row r="424" ht="15" customHeight="1"/>
    <row r="425" ht="15" customHeight="1"/>
    <row r="426" ht="15" customHeight="1"/>
    <row r="427" ht="15" customHeight="1"/>
    <row r="428" ht="15" customHeight="1"/>
    <row r="429" ht="15" customHeight="1"/>
    <row r="430" ht="15" customHeight="1"/>
    <row r="431" ht="2.9" customHeight="1"/>
    <row r="432" ht="15" customHeight="1"/>
    <row r="433" ht="15" customHeight="1"/>
    <row r="434" ht="15" customHeight="1"/>
    <row r="435" ht="15" customHeight="1"/>
    <row r="436" ht="15" customHeight="1"/>
    <row r="437" ht="15" customHeight="1"/>
    <row r="438" ht="15" customHeight="1"/>
    <row r="439" ht="15" customHeight="1"/>
    <row r="440" ht="15" customHeight="1"/>
    <row r="441" ht="2.9" customHeight="1"/>
    <row r="442" ht="15" customHeight="1"/>
    <row r="443" ht="15" customHeight="1"/>
    <row r="444" ht="15" customHeight="1"/>
    <row r="445" ht="15" customHeight="1"/>
    <row r="446" ht="15" customHeight="1"/>
    <row r="447" ht="15" customHeight="1"/>
    <row r="448" ht="15" customHeight="1"/>
    <row r="449" ht="15" customHeight="1"/>
    <row r="450" ht="15" customHeight="1"/>
    <row r="451" ht="2.9" customHeight="1"/>
    <row r="452" ht="15" customHeight="1"/>
    <row r="453" ht="15" customHeight="1"/>
    <row r="454" ht="15" customHeight="1"/>
    <row r="455" ht="15" customHeight="1"/>
    <row r="456" ht="15" customHeight="1"/>
    <row r="457" ht="15" customHeight="1"/>
    <row r="458" ht="15" customHeight="1"/>
    <row r="459" ht="15" customHeight="1"/>
    <row r="460" ht="15" customHeight="1"/>
    <row r="461" ht="2.9" customHeight="1"/>
    <row r="462" ht="15" customHeight="1"/>
    <row r="463" ht="15" customHeight="1"/>
    <row r="464" ht="15" customHeight="1"/>
    <row r="465" ht="15" customHeight="1"/>
    <row r="466" ht="15" customHeight="1"/>
    <row r="467" ht="15" customHeight="1"/>
    <row r="468" ht="15" customHeight="1"/>
    <row r="469" ht="15" customHeight="1"/>
    <row r="470" ht="15" customHeight="1"/>
    <row r="471" ht="2.9" customHeight="1"/>
    <row r="472" ht="15" customHeight="1"/>
    <row r="473" ht="15" customHeight="1"/>
    <row r="474" ht="15" customHeight="1"/>
    <row r="475" ht="15" customHeight="1"/>
    <row r="476" ht="15" customHeight="1"/>
    <row r="477" ht="15" customHeight="1"/>
    <row r="478" ht="15" customHeight="1"/>
    <row r="479" ht="15" customHeight="1"/>
    <row r="480" ht="15" customHeight="1"/>
    <row r="481" ht="2.9" customHeight="1"/>
    <row r="482" ht="15" customHeight="1"/>
    <row r="483" ht="15" customHeight="1"/>
    <row r="484" ht="15" customHeight="1"/>
    <row r="485" ht="15" customHeight="1"/>
    <row r="486" ht="15" customHeight="1"/>
    <row r="487" ht="15" customHeight="1"/>
    <row r="488" ht="15" customHeight="1"/>
    <row r="489" ht="15" customHeight="1"/>
    <row r="490" ht="15" customHeight="1"/>
    <row r="491" ht="2.9" customHeight="1"/>
    <row r="492" ht="15" customHeight="1"/>
    <row r="493" ht="15" customHeight="1"/>
    <row r="494" ht="15" customHeight="1"/>
    <row r="495" ht="15" customHeight="1"/>
    <row r="496" ht="15" customHeight="1"/>
    <row r="497" ht="15" customHeight="1"/>
    <row r="498" ht="15" customHeight="1"/>
    <row r="499" ht="15" customHeight="1"/>
    <row r="500" ht="15" customHeight="1"/>
    <row r="501" ht="2.9" customHeight="1"/>
    <row r="502" ht="15" customHeight="1"/>
    <row r="503" ht="15" customHeight="1"/>
    <row r="504" ht="15" customHeight="1"/>
    <row r="505" ht="15" customHeight="1"/>
    <row r="506" ht="15" customHeight="1"/>
    <row r="507" ht="15" customHeight="1"/>
    <row r="508" ht="15" customHeight="1"/>
    <row r="509" ht="15" customHeight="1"/>
    <row r="510" ht="15" customHeight="1"/>
    <row r="511" ht="2.9" customHeight="1"/>
    <row r="512" ht="15" customHeight="1"/>
    <row r="513" ht="15" customHeight="1"/>
    <row r="514" ht="15" customHeight="1"/>
    <row r="515" ht="15" customHeight="1"/>
    <row r="516" ht="15" customHeight="1"/>
    <row r="517" ht="15" customHeight="1"/>
    <row r="518" ht="15" customHeight="1"/>
    <row r="519" ht="15" customHeight="1"/>
    <row r="520" ht="15" customHeight="1"/>
    <row r="521" ht="2.9" customHeight="1"/>
    <row r="522" ht="15" customHeight="1"/>
    <row r="523" ht="15" customHeight="1"/>
    <row r="524" ht="15" customHeight="1"/>
    <row r="525" ht="15" customHeight="1"/>
    <row r="526" ht="15" customHeight="1"/>
    <row r="527" ht="15" customHeight="1"/>
    <row r="528" ht="15" customHeight="1"/>
    <row r="529" ht="15" customHeight="1"/>
    <row r="530" ht="15" customHeight="1"/>
    <row r="531" ht="2.9" customHeight="1"/>
    <row r="532" ht="15" customHeight="1"/>
    <row r="533" ht="15" customHeight="1"/>
    <row r="534" ht="15" customHeight="1"/>
    <row r="535" ht="15" customHeight="1"/>
    <row r="536" ht="15" customHeight="1"/>
    <row r="537" ht="15" customHeight="1"/>
    <row r="538" ht="15" customHeight="1"/>
    <row r="539" ht="15" customHeight="1"/>
    <row r="540" ht="15" customHeight="1"/>
    <row r="541" ht="2.9" customHeight="1"/>
    <row r="542" ht="15" customHeight="1"/>
    <row r="543" ht="15" customHeight="1"/>
    <row r="544" ht="15" customHeight="1"/>
    <row r="545" ht="15" customHeight="1"/>
    <row r="546" ht="15" customHeight="1"/>
    <row r="547" ht="15" customHeight="1"/>
    <row r="548" ht="15" customHeight="1"/>
    <row r="549" ht="15" customHeight="1"/>
    <row r="550" ht="15" customHeight="1"/>
    <row r="551" ht="2.9" customHeight="1"/>
    <row r="552" ht="15" customHeight="1"/>
    <row r="553" ht="15" customHeight="1"/>
    <row r="554" ht="15" customHeight="1"/>
    <row r="555" ht="15" customHeight="1"/>
    <row r="556" ht="15" customHeight="1"/>
    <row r="557" ht="15" customHeight="1"/>
    <row r="558" ht="15" customHeight="1"/>
    <row r="559" ht="15" customHeight="1"/>
    <row r="560" ht="15" customHeight="1"/>
    <row r="561" ht="2.9" customHeight="1"/>
    <row r="562" ht="15" customHeight="1"/>
    <row r="563" ht="15" customHeight="1"/>
    <row r="564" ht="15" customHeight="1"/>
    <row r="565" ht="15" customHeight="1"/>
    <row r="566" ht="15" customHeight="1"/>
    <row r="567" ht="15" customHeight="1"/>
    <row r="568" ht="15" customHeight="1"/>
    <row r="569" ht="15" customHeight="1"/>
    <row r="570" ht="15" customHeight="1"/>
    <row r="571" ht="2.9" customHeight="1"/>
    <row r="572" ht="15" customHeight="1"/>
    <row r="573" ht="15" customHeight="1"/>
    <row r="574" ht="15" customHeight="1"/>
    <row r="575" ht="15" customHeight="1"/>
    <row r="576" ht="15" customHeight="1"/>
    <row r="577" ht="15" customHeight="1"/>
    <row r="578" ht="15" customHeight="1"/>
    <row r="579" ht="15" customHeight="1"/>
    <row r="580" ht="15" customHeight="1"/>
    <row r="581" ht="2.9" customHeight="1"/>
    <row r="582" ht="15" customHeight="1"/>
    <row r="583" ht="15" customHeight="1"/>
    <row r="584" ht="15" customHeight="1"/>
    <row r="585" ht="15" customHeight="1"/>
    <row r="586" ht="15" customHeight="1"/>
    <row r="587" ht="15" customHeight="1"/>
    <row r="588" ht="15" customHeight="1"/>
    <row r="589" ht="15" customHeight="1"/>
    <row r="590" ht="15" customHeight="1"/>
    <row r="591" ht="2.9" customHeight="1"/>
    <row r="592" ht="15" customHeight="1"/>
    <row r="593" ht="15" customHeight="1"/>
    <row r="594" ht="15" customHeight="1"/>
    <row r="595" ht="15" customHeight="1"/>
    <row r="596" ht="15" customHeight="1"/>
    <row r="597" ht="15" customHeight="1"/>
    <row r="598" ht="15" customHeight="1"/>
    <row r="599" ht="15" customHeight="1"/>
    <row r="600" ht="15" customHeight="1"/>
    <row r="601" ht="2.9" customHeight="1"/>
    <row r="602" ht="15" customHeight="1"/>
    <row r="603" ht="15" customHeight="1"/>
    <row r="604" ht="15" customHeight="1"/>
    <row r="605" ht="15" customHeight="1"/>
    <row r="606" ht="15" customHeight="1"/>
    <row r="607" ht="15" customHeight="1"/>
    <row r="608" ht="15" customHeight="1"/>
    <row r="609" ht="15" customHeight="1"/>
    <row r="610" ht="15" customHeight="1"/>
    <row r="611" ht="2.9" customHeight="1"/>
    <row r="612" ht="15" customHeight="1"/>
    <row r="613" ht="15" customHeight="1"/>
    <row r="614" ht="15" customHeight="1"/>
    <row r="615" ht="15" customHeight="1"/>
    <row r="616" ht="15" customHeight="1"/>
    <row r="617" ht="15" customHeight="1"/>
    <row r="618" ht="15" customHeight="1"/>
    <row r="619" ht="15" customHeight="1"/>
    <row r="620" ht="15" customHeight="1"/>
    <row r="621" ht="2.9" customHeight="1"/>
    <row r="622" ht="15" customHeight="1"/>
    <row r="623" ht="15" customHeight="1"/>
    <row r="624" ht="15" customHeight="1"/>
    <row r="625" ht="15" customHeight="1"/>
    <row r="626" ht="15" customHeight="1"/>
    <row r="627" ht="15" customHeight="1"/>
    <row r="628" ht="15" customHeight="1"/>
    <row r="629" ht="15" customHeight="1"/>
    <row r="630" ht="15" customHeight="1"/>
    <row r="631" ht="2.9" customHeight="1"/>
    <row r="632" ht="15" customHeight="1"/>
    <row r="633" ht="15" customHeight="1"/>
    <row r="634" ht="15" customHeight="1"/>
    <row r="635" ht="15" customHeight="1"/>
    <row r="636" ht="15" customHeight="1"/>
    <row r="637" ht="15" customHeight="1"/>
    <row r="638" ht="15" customHeight="1"/>
    <row r="639" ht="15" customHeight="1"/>
    <row r="640" ht="15" customHeight="1"/>
    <row r="641" ht="2.9" customHeight="1"/>
    <row r="642" ht="15" customHeight="1"/>
    <row r="643" ht="15" customHeight="1"/>
    <row r="644" ht="15" customHeight="1"/>
    <row r="645" ht="15" customHeight="1"/>
    <row r="646" ht="15" customHeight="1"/>
    <row r="647" ht="15" customHeight="1"/>
    <row r="648" ht="15" customHeight="1"/>
    <row r="649" ht="15" customHeight="1"/>
    <row r="650" ht="15" customHeight="1"/>
    <row r="651" ht="2.9" customHeight="1"/>
    <row r="652" ht="15" customHeight="1"/>
    <row r="653" ht="15" customHeight="1"/>
    <row r="654" ht="15" customHeight="1"/>
    <row r="655" ht="15" customHeight="1"/>
    <row r="656" ht="15" customHeight="1"/>
    <row r="657" ht="15" customHeight="1"/>
    <row r="658" ht="15" customHeight="1"/>
    <row r="659" ht="15" customHeight="1"/>
    <row r="660" ht="15" customHeight="1"/>
    <row r="661" ht="2.9" customHeight="1"/>
    <row r="662" ht="15" customHeight="1"/>
    <row r="663" ht="15" customHeight="1"/>
    <row r="664" ht="15" customHeight="1"/>
    <row r="665" ht="15" customHeight="1"/>
    <row r="666" ht="15" customHeight="1"/>
    <row r="667" ht="15" customHeight="1"/>
    <row r="668" ht="15" customHeight="1"/>
    <row r="669" ht="15" customHeight="1"/>
    <row r="670" ht="15" customHeight="1"/>
    <row r="671" ht="2.9" customHeight="1"/>
    <row r="672" ht="15" customHeight="1"/>
    <row r="673" ht="15" customHeight="1"/>
    <row r="674" ht="15" customHeight="1"/>
    <row r="675" ht="15" customHeight="1"/>
    <row r="676" ht="15" customHeight="1"/>
    <row r="677" ht="15" customHeight="1"/>
    <row r="678" ht="15" customHeight="1"/>
    <row r="679" ht="15" customHeight="1"/>
    <row r="680" ht="15" customHeight="1"/>
    <row r="681" ht="2.9" customHeight="1"/>
    <row r="682" ht="15" customHeight="1"/>
    <row r="683" ht="15" customHeight="1"/>
    <row r="684" ht="15" customHeight="1"/>
    <row r="685" ht="15" customHeight="1"/>
    <row r="686" ht="15" customHeight="1"/>
    <row r="687" ht="15" customHeight="1"/>
    <row r="688" ht="15" customHeight="1"/>
    <row r="689" ht="15" customHeight="1"/>
    <row r="690" ht="15" customHeight="1"/>
    <row r="691" ht="2.9" customHeight="1"/>
    <row r="692" ht="15" customHeight="1"/>
    <row r="693" ht="15" customHeight="1"/>
    <row r="694" ht="15" customHeight="1"/>
    <row r="695" ht="15" customHeight="1"/>
    <row r="696" ht="15" customHeight="1"/>
    <row r="697" ht="15" customHeight="1"/>
    <row r="698" ht="15" customHeight="1"/>
    <row r="699" ht="15" customHeight="1"/>
    <row r="700" ht="15" customHeight="1"/>
    <row r="701" ht="2.9" customHeight="1"/>
    <row r="702" ht="15" customHeight="1"/>
    <row r="703" ht="15" customHeight="1"/>
    <row r="704" ht="15" customHeight="1"/>
    <row r="705" ht="15" customHeight="1"/>
    <row r="706" ht="15" customHeight="1"/>
    <row r="707" ht="15" customHeight="1"/>
    <row r="708" ht="15" customHeight="1"/>
    <row r="709" ht="15" customHeight="1"/>
    <row r="710" ht="15" customHeight="1"/>
    <row r="711" ht="2.9" customHeight="1"/>
    <row r="712" ht="15" customHeight="1"/>
    <row r="713" ht="15" customHeight="1"/>
    <row r="714" ht="15" customHeight="1"/>
    <row r="715" ht="15" customHeight="1"/>
    <row r="716" ht="15" customHeight="1"/>
    <row r="717" ht="15" customHeight="1"/>
    <row r="718" ht="15" customHeight="1"/>
    <row r="719" ht="15" customHeight="1"/>
    <row r="720" ht="15" customHeight="1"/>
    <row r="721" ht="2.9" customHeight="1"/>
    <row r="722" ht="15" customHeight="1"/>
    <row r="723" ht="15" customHeight="1"/>
    <row r="724" ht="15" customHeight="1"/>
    <row r="725" ht="15" customHeight="1"/>
    <row r="726" ht="15" customHeight="1"/>
    <row r="727" ht="15" customHeight="1"/>
    <row r="728" ht="15" customHeight="1"/>
    <row r="729" ht="15" customHeight="1"/>
    <row r="730" ht="15" customHeight="1"/>
    <row r="731" ht="2.9" customHeight="1"/>
    <row r="732" ht="15" customHeight="1"/>
    <row r="733" ht="15" customHeight="1"/>
    <row r="734" ht="15" customHeight="1"/>
    <row r="735" ht="15" customHeight="1"/>
    <row r="736" ht="15" customHeight="1"/>
    <row r="737" ht="15" customHeight="1"/>
    <row r="738" ht="15" customHeight="1"/>
    <row r="739" ht="15" customHeight="1"/>
    <row r="740" ht="15" customHeight="1"/>
    <row r="741" ht="2.9" customHeight="1"/>
    <row r="742" ht="15" customHeight="1"/>
    <row r="743" ht="15" customHeight="1"/>
    <row r="744" ht="15" customHeight="1"/>
    <row r="745" ht="15" customHeight="1"/>
    <row r="746" ht="15" customHeight="1"/>
    <row r="747" ht="15" customHeight="1"/>
    <row r="748" ht="15" customHeight="1"/>
    <row r="749" ht="15" customHeight="1"/>
    <row r="750" ht="15" customHeight="1"/>
    <row r="751" ht="2.9" customHeight="1"/>
    <row r="752" ht="15" customHeight="1"/>
    <row r="753" ht="15" customHeight="1"/>
    <row r="754" ht="15" customHeight="1"/>
    <row r="755" ht="15" customHeight="1"/>
    <row r="756" ht="15" customHeight="1"/>
    <row r="757" ht="15" customHeight="1"/>
    <row r="758" ht="15" customHeight="1"/>
    <row r="759" ht="15" customHeight="1"/>
    <row r="760" ht="15" customHeight="1"/>
    <row r="761" ht="2.9" customHeight="1"/>
    <row r="762" ht="15" customHeight="1"/>
    <row r="763" ht="15" customHeight="1"/>
    <row r="764" ht="15" customHeight="1"/>
    <row r="765" ht="15" customHeight="1"/>
    <row r="766" ht="15" customHeight="1"/>
    <row r="767" ht="15" customHeight="1"/>
    <row r="768" ht="15" customHeight="1"/>
    <row r="769" ht="15" customHeight="1"/>
    <row r="770" ht="15" customHeight="1"/>
    <row r="771" ht="2.9" customHeight="1"/>
    <row r="772" ht="15" customHeight="1"/>
    <row r="773" ht="15" customHeight="1"/>
    <row r="774" ht="15" customHeight="1"/>
    <row r="775" ht="15" customHeight="1"/>
    <row r="776" ht="15" customHeight="1"/>
    <row r="777" ht="15" customHeight="1"/>
    <row r="778" ht="15" customHeight="1"/>
    <row r="779" ht="15" customHeight="1"/>
    <row r="780" ht="15" customHeight="1"/>
    <row r="781" ht="2.9" customHeight="1"/>
    <row r="782" ht="15" customHeight="1"/>
    <row r="783" ht="15" customHeight="1"/>
    <row r="784" ht="15" customHeight="1"/>
    <row r="785" ht="15" customHeight="1"/>
    <row r="786" ht="15" customHeight="1"/>
    <row r="787" ht="15" customHeight="1"/>
    <row r="788" ht="15" customHeight="1"/>
    <row r="789" ht="15" customHeight="1"/>
    <row r="790" ht="15" customHeight="1"/>
    <row r="791" ht="2.9" customHeight="1"/>
    <row r="792" ht="15" customHeight="1"/>
    <row r="793" ht="15" customHeight="1"/>
    <row r="794" ht="15" customHeight="1"/>
    <row r="795" ht="15" customHeight="1"/>
    <row r="796" ht="15" customHeight="1"/>
    <row r="797" ht="15" customHeight="1"/>
    <row r="798" ht="15" customHeight="1"/>
    <row r="799" ht="15" customHeight="1"/>
    <row r="800" ht="15" customHeight="1"/>
    <row r="801" ht="2.9" customHeight="1"/>
    <row r="802" ht="15" customHeight="1"/>
    <row r="803" ht="15" customHeight="1"/>
    <row r="804" ht="15" customHeight="1"/>
    <row r="805" ht="15" customHeight="1"/>
    <row r="806" ht="15" customHeight="1"/>
    <row r="807" ht="15" customHeight="1"/>
    <row r="808" ht="15" customHeight="1"/>
    <row r="809" ht="15" customHeight="1"/>
    <row r="810" ht="15" customHeight="1"/>
    <row r="811" ht="2.9" customHeight="1"/>
    <row r="812" ht="15" customHeight="1"/>
    <row r="813" ht="15" customHeight="1"/>
    <row r="814" ht="15" customHeight="1"/>
    <row r="815" ht="15" customHeight="1"/>
    <row r="816" ht="15" customHeight="1"/>
    <row r="817" ht="15" customHeight="1"/>
    <row r="818" ht="15" customHeight="1"/>
    <row r="819" ht="15" customHeight="1"/>
    <row r="820" ht="15" customHeight="1"/>
    <row r="821" ht="2.9" customHeight="1"/>
    <row r="822" ht="15" customHeight="1"/>
    <row r="823" ht="15" customHeight="1"/>
    <row r="824" ht="15" customHeight="1"/>
    <row r="825" ht="15" customHeight="1"/>
    <row r="826" ht="15" customHeight="1"/>
    <row r="827" ht="15" customHeight="1"/>
    <row r="828" ht="15" customHeight="1"/>
    <row r="829" ht="15" customHeight="1"/>
    <row r="830" ht="15" customHeight="1"/>
    <row r="831" ht="2.9" customHeight="1"/>
    <row r="832" ht="15" customHeight="1"/>
    <row r="833" ht="15" customHeight="1"/>
    <row r="834" ht="15" customHeight="1"/>
    <row r="835" ht="15" customHeight="1"/>
    <row r="836" ht="15" customHeight="1"/>
    <row r="837" ht="15" customHeight="1"/>
    <row r="838" ht="15" customHeight="1"/>
    <row r="839" ht="15" customHeight="1"/>
    <row r="840" ht="15" customHeight="1"/>
    <row r="841" ht="2.9" customHeight="1"/>
    <row r="842" ht="15" customHeight="1"/>
    <row r="843" ht="15" customHeight="1"/>
    <row r="844" ht="15" customHeight="1"/>
    <row r="845" ht="15" customHeight="1"/>
    <row r="846" ht="15" customHeight="1"/>
    <row r="847" ht="15" customHeight="1"/>
    <row r="848" ht="15" customHeight="1"/>
    <row r="849" ht="15" customHeight="1"/>
    <row r="850" ht="15" customHeight="1"/>
    <row r="851" ht="2.9" customHeight="1"/>
    <row r="852" ht="15" customHeight="1"/>
    <row r="853" ht="15" customHeight="1"/>
    <row r="854" ht="15" customHeight="1"/>
    <row r="855" ht="15" customHeight="1"/>
    <row r="856" ht="15" customHeight="1"/>
    <row r="857" ht="15" customHeight="1"/>
    <row r="858" ht="15" customHeight="1"/>
    <row r="859" ht="15" customHeight="1"/>
    <row r="860" ht="15" customHeight="1"/>
    <row r="861" ht="2.9" customHeight="1"/>
    <row r="862" ht="15" customHeight="1"/>
    <row r="863" ht="15" customHeight="1"/>
    <row r="864" ht="15" customHeight="1"/>
    <row r="865" ht="15" customHeight="1"/>
    <row r="866" ht="15" customHeight="1"/>
    <row r="867" ht="15" customHeight="1"/>
    <row r="868" ht="15" customHeight="1"/>
    <row r="869" ht="15" customHeight="1"/>
    <row r="870" ht="15" customHeight="1"/>
    <row r="871" ht="2.9" customHeight="1"/>
    <row r="872" ht="15" customHeight="1"/>
    <row r="873" ht="15" customHeight="1"/>
    <row r="874" ht="15" customHeight="1"/>
    <row r="875" ht="15" customHeight="1"/>
    <row r="876" ht="15" customHeight="1"/>
    <row r="877" ht="15" customHeight="1"/>
    <row r="878" ht="15" customHeight="1"/>
    <row r="879" ht="15" customHeight="1"/>
    <row r="880" ht="15" customHeight="1"/>
    <row r="881" ht="2.9" customHeight="1"/>
    <row r="882" ht="15" customHeight="1"/>
    <row r="883" ht="15" customHeight="1"/>
    <row r="884" ht="15" customHeight="1"/>
    <row r="885" ht="15" customHeight="1"/>
    <row r="886" ht="15" customHeight="1"/>
    <row r="887" ht="15" customHeight="1"/>
    <row r="888" ht="15" customHeight="1"/>
    <row r="889" ht="15" customHeight="1"/>
    <row r="890" ht="15" customHeight="1"/>
    <row r="891" ht="2.9" customHeight="1"/>
    <row r="892" ht="15" customHeight="1"/>
    <row r="893" ht="15" customHeight="1"/>
    <row r="894" ht="15" customHeight="1"/>
    <row r="895" ht="15" customHeight="1"/>
    <row r="896" ht="15" customHeight="1"/>
    <row r="897" ht="15" customHeight="1"/>
    <row r="898" ht="15" customHeight="1"/>
    <row r="899" ht="15" customHeight="1"/>
    <row r="900" ht="15" customHeight="1"/>
    <row r="901" ht="2.9" customHeight="1"/>
    <row r="902" ht="15" customHeight="1"/>
    <row r="903" ht="15" customHeight="1"/>
    <row r="904" ht="15" customHeight="1"/>
    <row r="905" ht="15" customHeight="1"/>
    <row r="906" ht="15" customHeight="1"/>
    <row r="907" ht="15" customHeight="1"/>
    <row r="908" ht="15" customHeight="1"/>
    <row r="909" ht="15" customHeight="1"/>
    <row r="910" ht="15" customHeight="1"/>
    <row r="911" ht="2.9" customHeight="1"/>
    <row r="912" ht="15" customHeight="1"/>
    <row r="913" ht="15" customHeight="1"/>
    <row r="914" ht="15" customHeight="1"/>
    <row r="915" ht="15" customHeight="1"/>
    <row r="916" ht="15" customHeight="1"/>
    <row r="917" ht="15" customHeight="1"/>
    <row r="918" ht="15" customHeight="1"/>
    <row r="919" ht="15" customHeight="1"/>
    <row r="920" ht="15" customHeight="1"/>
    <row r="921" ht="2.9" customHeight="1"/>
    <row r="922" ht="15" customHeight="1"/>
    <row r="923" ht="15" customHeight="1"/>
    <row r="924" ht="15" customHeight="1"/>
    <row r="925" ht="15" customHeight="1"/>
    <row r="926" ht="15" customHeight="1"/>
    <row r="927" ht="15" customHeight="1"/>
    <row r="928" ht="15" customHeight="1"/>
    <row r="929" ht="15" customHeight="1"/>
    <row r="930" ht="15" customHeight="1"/>
    <row r="931" ht="2.9" customHeight="1"/>
    <row r="932" ht="15" customHeight="1"/>
    <row r="933" ht="15" customHeight="1"/>
    <row r="934" ht="15" customHeight="1"/>
    <row r="935" ht="15" customHeight="1"/>
    <row r="936" ht="15" customHeight="1"/>
    <row r="937" ht="15" customHeight="1"/>
    <row r="938" ht="15" customHeight="1"/>
    <row r="939" ht="15" customHeight="1"/>
    <row r="940" ht="15" customHeight="1"/>
    <row r="941" ht="2.9" customHeight="1"/>
    <row r="942" ht="15" customHeight="1"/>
    <row r="943" ht="15" customHeight="1"/>
    <row r="944" ht="15" customHeight="1"/>
    <row r="945" ht="15" customHeight="1"/>
    <row r="946" ht="15" customHeight="1"/>
    <row r="947" ht="15" customHeight="1"/>
    <row r="948" ht="15" customHeight="1"/>
    <row r="949" ht="15" customHeight="1"/>
    <row r="950" ht="15" customHeight="1"/>
    <row r="951" ht="2.9" customHeight="1"/>
    <row r="952" ht="15" customHeight="1"/>
    <row r="953" ht="15" customHeight="1"/>
    <row r="954" ht="15" customHeight="1"/>
    <row r="955" ht="15" customHeight="1"/>
    <row r="956" ht="15" customHeight="1"/>
    <row r="957" ht="15" customHeight="1"/>
    <row r="958" ht="15" customHeight="1"/>
    <row r="959" ht="15" customHeight="1"/>
    <row r="960" ht="15" customHeight="1"/>
    <row r="961" ht="2.9" customHeight="1"/>
    <row r="962" ht="15" customHeight="1"/>
    <row r="963" ht="15" customHeight="1"/>
    <row r="964" ht="15" customHeight="1"/>
    <row r="965" ht="15" customHeight="1"/>
    <row r="966" ht="15" customHeight="1"/>
    <row r="967" ht="15" customHeight="1"/>
    <row r="968" ht="15" customHeight="1"/>
    <row r="969" ht="15" customHeight="1"/>
    <row r="970" ht="15" customHeight="1"/>
    <row r="971" ht="2.9" customHeight="1"/>
    <row r="972" ht="15" customHeight="1"/>
    <row r="973" ht="15" customHeight="1"/>
    <row r="974" ht="15" customHeight="1"/>
    <row r="975" ht="15" customHeight="1"/>
    <row r="976" ht="15" customHeight="1"/>
    <row r="977" ht="15" customHeight="1"/>
    <row r="978" ht="15" customHeight="1"/>
    <row r="979" ht="15" customHeight="1"/>
    <row r="980" ht="15" customHeight="1"/>
    <row r="981" ht="2.9" customHeight="1"/>
    <row r="982" ht="15" customHeight="1"/>
    <row r="983" ht="15" customHeight="1"/>
    <row r="984" ht="15" customHeight="1"/>
    <row r="985" ht="15" customHeight="1"/>
    <row r="986" ht="15" customHeight="1"/>
    <row r="987" ht="15" customHeight="1"/>
    <row r="988" ht="15" customHeight="1"/>
    <row r="989" ht="15" customHeight="1"/>
    <row r="990" ht="15" customHeight="1"/>
    <row r="991" ht="2.9"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2.9"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2.9"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2.9" customHeight="1"/>
  </sheetData>
  <mergeCells count="26">
    <mergeCell ref="I2:L2"/>
    <mergeCell ref="J3:K3"/>
    <mergeCell ref="L3:L8"/>
    <mergeCell ref="C8:D8"/>
    <mergeCell ref="D9:F9"/>
    <mergeCell ref="K9:M9"/>
    <mergeCell ref="B2:E2"/>
    <mergeCell ref="B3:B8"/>
    <mergeCell ref="E3:E8"/>
    <mergeCell ref="C4:D7"/>
    <mergeCell ref="C3:D3"/>
    <mergeCell ref="H10:J10"/>
    <mergeCell ref="K10:M10"/>
    <mergeCell ref="S3:X3"/>
    <mergeCell ref="P3:Q4"/>
    <mergeCell ref="A9:C9"/>
    <mergeCell ref="F3:F7"/>
    <mergeCell ref="M3:M7"/>
    <mergeCell ref="J4:K7"/>
    <mergeCell ref="J8:K8"/>
    <mergeCell ref="H9:J9"/>
    <mergeCell ref="A10:C10"/>
    <mergeCell ref="H3:H7"/>
    <mergeCell ref="I3:I8"/>
    <mergeCell ref="D10:F10"/>
    <mergeCell ref="A3:A7"/>
  </mergeCells>
  <conditionalFormatting sqref="E3:F3">
    <cfRule type="expression" dxfId="10" priority="53" stopIfTrue="1">
      <formula>$E2="PREPA"</formula>
    </cfRule>
  </conditionalFormatting>
  <conditionalFormatting sqref="A8">
    <cfRule type="expression" dxfId="9" priority="14" stopIfTrue="1">
      <formula>$E1048576="PREPA"</formula>
    </cfRule>
  </conditionalFormatting>
  <conditionalFormatting sqref="L3:M3">
    <cfRule type="expression" dxfId="8" priority="2" stopIfTrue="1">
      <formula>$E2="PREPA"</formula>
    </cfRule>
  </conditionalFormatting>
  <conditionalFormatting sqref="H8">
    <cfRule type="expression" dxfId="7" priority="1" stopIfTrue="1">
      <formula>$E1048576="PREPA"</formula>
    </cfRule>
  </conditionalFormatting>
  <printOptions horizontalCentered="1"/>
  <pageMargins left="3.937007874015748E-2" right="3.937007874015748E-2" top="3.937007874015748E-2" bottom="3.937007874015748E-2" header="0.31496062992125984" footer="0.31496062992125984"/>
  <pageSetup paperSize="9" orientation="portrait" r:id="rId1"/>
  <rowBreaks count="1" manualBreakCount="1">
    <brk id="16" max="13" man="1"/>
  </rowBreaks>
  <colBreaks count="1" manualBreakCount="1">
    <brk id="7" max="104857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5E987-618A-4A96-9FBD-0B0DA6859081}">
  <sheetPr codeName="Sheet2"/>
  <dimension ref="A1:AC54"/>
  <sheetViews>
    <sheetView topLeftCell="C1" workbookViewId="0">
      <selection activeCell="AA5" sqref="AA5"/>
    </sheetView>
  </sheetViews>
  <sheetFormatPr defaultColWidth="11.453125" defaultRowHeight="14.5"/>
  <cols>
    <col min="1" max="1" width="15.6328125" style="36" bestFit="1" customWidth="1"/>
    <col min="2" max="3" width="20.6328125" style="36" customWidth="1"/>
    <col min="4" max="4" width="20.6328125" style="44" customWidth="1"/>
    <col min="5" max="5" width="13.7265625" style="44" bestFit="1" customWidth="1"/>
    <col min="6" max="6" width="8" style="44" bestFit="1" customWidth="1"/>
    <col min="7" max="7" width="9.6328125" style="44" bestFit="1" customWidth="1"/>
    <col min="8" max="8" width="10.6328125" style="36" customWidth="1"/>
    <col min="9" max="11" width="22.6328125" style="36" customWidth="1"/>
    <col min="12" max="12" width="13.7265625" style="44" bestFit="1" customWidth="1"/>
    <col min="13" max="13" width="6.6328125" style="44" bestFit="1" customWidth="1"/>
    <col min="14" max="14" width="9.6328125" style="44" bestFit="1" customWidth="1"/>
    <col min="15" max="15" width="10.6328125" style="44" customWidth="1"/>
    <col min="16" max="18" width="22.6328125" style="36" customWidth="1"/>
    <col min="19" max="19" width="15.36328125" style="45" bestFit="1" customWidth="1"/>
    <col min="20" max="20" width="7.453125" style="36" bestFit="1" customWidth="1"/>
    <col min="21" max="21" width="9.6328125" style="36" bestFit="1" customWidth="1"/>
    <col min="22" max="22" width="20.6328125" style="36" customWidth="1"/>
    <col min="23" max="23" width="15.6328125" style="36" bestFit="1" customWidth="1"/>
    <col min="24" max="25" width="20.6328125" style="36" customWidth="1"/>
    <col min="26" max="26" width="14.6328125" style="44" bestFit="1" customWidth="1"/>
    <col min="27" max="27" width="13.7265625" style="44" bestFit="1" customWidth="1"/>
    <col min="28" max="28" width="8" style="44" bestFit="1" customWidth="1"/>
    <col min="29" max="29" width="9.6328125" style="44" bestFit="1" customWidth="1"/>
    <col min="30" max="30" width="10.6328125" style="36" customWidth="1"/>
    <col min="31" max="16384" width="11.453125" style="36"/>
  </cols>
  <sheetData>
    <row r="1" spans="1:29" ht="29.5">
      <c r="A1" s="43" t="s">
        <v>68</v>
      </c>
      <c r="I1" s="43" t="s">
        <v>110</v>
      </c>
      <c r="P1" s="43" t="s">
        <v>111</v>
      </c>
      <c r="W1" s="43" t="s">
        <v>430</v>
      </c>
    </row>
    <row r="2" spans="1:29" ht="26">
      <c r="A2" s="291"/>
      <c r="B2" s="292"/>
      <c r="C2" s="292"/>
      <c r="D2" s="292"/>
      <c r="E2" s="292"/>
      <c r="F2" s="293" t="s">
        <v>112</v>
      </c>
      <c r="G2" s="99"/>
      <c r="I2" s="291"/>
      <c r="J2" s="292"/>
      <c r="K2" s="292"/>
      <c r="L2" s="292"/>
      <c r="M2" s="293" t="s">
        <v>112</v>
      </c>
      <c r="N2" s="99"/>
      <c r="P2" s="291"/>
      <c r="Q2" s="292"/>
      <c r="R2" s="292"/>
      <c r="S2" s="292"/>
      <c r="T2" s="293" t="s">
        <v>112</v>
      </c>
      <c r="U2" s="107"/>
      <c r="V2"/>
      <c r="W2" s="291"/>
      <c r="X2" s="292"/>
      <c r="Y2" s="292"/>
      <c r="Z2" s="292"/>
      <c r="AA2" s="292"/>
      <c r="AB2" s="293" t="s">
        <v>112</v>
      </c>
      <c r="AC2" s="99"/>
    </row>
    <row r="3" spans="1:29">
      <c r="A3" s="46" t="s">
        <v>104</v>
      </c>
      <c r="B3" s="46" t="s">
        <v>0</v>
      </c>
      <c r="C3" s="46" t="s">
        <v>99</v>
      </c>
      <c r="D3" s="46" t="s">
        <v>65</v>
      </c>
      <c r="E3" s="46" t="s">
        <v>66</v>
      </c>
      <c r="F3" s="47" t="s">
        <v>113</v>
      </c>
      <c r="G3" s="48" t="s">
        <v>114</v>
      </c>
      <c r="I3" s="46" t="s">
        <v>0</v>
      </c>
      <c r="J3" s="46" t="s">
        <v>99</v>
      </c>
      <c r="K3" s="46" t="s">
        <v>65</v>
      </c>
      <c r="L3" s="46" t="s">
        <v>66</v>
      </c>
      <c r="M3" s="46" t="s">
        <v>115</v>
      </c>
      <c r="N3" s="48" t="s">
        <v>114</v>
      </c>
      <c r="P3" s="46" t="s">
        <v>97</v>
      </c>
      <c r="Q3" s="46" t="s">
        <v>99</v>
      </c>
      <c r="R3" s="46" t="s">
        <v>65</v>
      </c>
      <c r="S3" s="46" t="s">
        <v>109</v>
      </c>
      <c r="T3" s="47" t="s">
        <v>116</v>
      </c>
      <c r="U3" s="48" t="s">
        <v>114</v>
      </c>
      <c r="V3"/>
      <c r="W3" s="46" t="s">
        <v>104</v>
      </c>
      <c r="X3" s="46" t="s">
        <v>0</v>
      </c>
      <c r="Y3" s="46" t="s">
        <v>99</v>
      </c>
      <c r="Z3" s="46" t="s">
        <v>65</v>
      </c>
      <c r="AA3" s="46" t="s">
        <v>66</v>
      </c>
      <c r="AB3" s="47" t="s">
        <v>113</v>
      </c>
      <c r="AC3" s="48" t="s">
        <v>114</v>
      </c>
    </row>
    <row r="4" spans="1:29" ht="15" hidden="1" customHeight="1">
      <c r="A4" s="297" t="s">
        <v>117</v>
      </c>
      <c r="B4" s="101" t="s">
        <v>117</v>
      </c>
      <c r="C4" s="101" t="s">
        <v>117</v>
      </c>
      <c r="D4" s="101" t="s">
        <v>117</v>
      </c>
      <c r="E4" s="297" t="s">
        <v>117</v>
      </c>
      <c r="F4" s="295"/>
      <c r="G4" s="296"/>
      <c r="I4" s="101" t="s">
        <v>117</v>
      </c>
      <c r="J4" s="101" t="s">
        <v>117</v>
      </c>
      <c r="K4" s="101" t="s">
        <v>117</v>
      </c>
      <c r="L4" s="101" t="s">
        <v>117</v>
      </c>
      <c r="M4" s="95"/>
      <c r="N4" s="96"/>
      <c r="P4" s="101" t="s">
        <v>117</v>
      </c>
      <c r="Q4" s="101" t="s">
        <v>117</v>
      </c>
      <c r="R4" s="101" t="s">
        <v>117</v>
      </c>
      <c r="S4" s="101" t="s">
        <v>117</v>
      </c>
      <c r="T4" s="105"/>
      <c r="U4" s="106"/>
      <c r="V4"/>
      <c r="W4" s="101" t="s">
        <v>108</v>
      </c>
      <c r="X4" s="300" t="s">
        <v>117</v>
      </c>
      <c r="Y4" s="300" t="s">
        <v>117</v>
      </c>
      <c r="Z4" s="300" t="s">
        <v>117</v>
      </c>
      <c r="AA4" s="299" t="s">
        <v>117</v>
      </c>
      <c r="AB4" s="95">
        <v>0</v>
      </c>
      <c r="AC4" s="96">
        <v>0</v>
      </c>
    </row>
    <row r="5" spans="1:29">
      <c r="A5" s="297" t="s">
        <v>67</v>
      </c>
      <c r="B5" s="101" t="s">
        <v>527</v>
      </c>
      <c r="C5" s="101" t="s">
        <v>117</v>
      </c>
      <c r="D5" s="101" t="s">
        <v>117</v>
      </c>
      <c r="E5" s="100" t="s">
        <v>872</v>
      </c>
      <c r="F5" s="295">
        <v>16.394700999999998</v>
      </c>
      <c r="G5" s="296">
        <v>0</v>
      </c>
      <c r="I5" s="101" t="s">
        <v>533</v>
      </c>
      <c r="J5" s="101">
        <v>1.3</v>
      </c>
      <c r="K5" s="101" t="s">
        <v>117</v>
      </c>
      <c r="L5" s="101" t="s">
        <v>117</v>
      </c>
      <c r="M5" s="95">
        <v>74.105999999999952</v>
      </c>
      <c r="N5" s="96">
        <v>96.337799999999859</v>
      </c>
      <c r="P5" s="101" t="s">
        <v>538</v>
      </c>
      <c r="Q5" s="101">
        <v>0</v>
      </c>
      <c r="R5" s="101" t="s">
        <v>117</v>
      </c>
      <c r="S5" s="101" t="s">
        <v>117</v>
      </c>
      <c r="T5" s="105">
        <v>137</v>
      </c>
      <c r="U5" s="106">
        <v>0</v>
      </c>
      <c r="V5"/>
      <c r="W5" s="300" t="s">
        <v>117</v>
      </c>
      <c r="X5" s="101" t="s">
        <v>117</v>
      </c>
      <c r="Y5" s="101" t="s">
        <v>117</v>
      </c>
      <c r="Z5" s="101" t="s">
        <v>117</v>
      </c>
      <c r="AA5" s="299" t="s">
        <v>117</v>
      </c>
      <c r="AB5" s="95"/>
      <c r="AC5" s="96"/>
    </row>
    <row r="6" spans="1:29">
      <c r="A6" s="298"/>
      <c r="B6" s="101" t="s">
        <v>528</v>
      </c>
      <c r="C6" s="101" t="s">
        <v>117</v>
      </c>
      <c r="D6" s="101" t="s">
        <v>117</v>
      </c>
      <c r="E6" s="100" t="s">
        <v>872</v>
      </c>
      <c r="F6" s="295">
        <v>1.623116</v>
      </c>
      <c r="G6" s="296">
        <v>0</v>
      </c>
      <c r="I6" s="101" t="s">
        <v>537</v>
      </c>
      <c r="J6" s="101">
        <v>1.5</v>
      </c>
      <c r="K6" s="101" t="s">
        <v>117</v>
      </c>
      <c r="L6" s="101" t="s">
        <v>117</v>
      </c>
      <c r="M6" s="95">
        <v>65.024000000000029</v>
      </c>
      <c r="N6" s="96">
        <v>97.53600000000003</v>
      </c>
      <c r="P6" s="101" t="s">
        <v>539</v>
      </c>
      <c r="Q6" s="101">
        <v>0</v>
      </c>
      <c r="R6" s="101" t="s">
        <v>117</v>
      </c>
      <c r="S6" s="101" t="s">
        <v>117</v>
      </c>
      <c r="T6" s="105">
        <v>64</v>
      </c>
      <c r="U6" s="106">
        <v>0</v>
      </c>
      <c r="V6"/>
      <c r="W6" s="102" t="s">
        <v>118</v>
      </c>
      <c r="X6" s="294"/>
      <c r="Y6" s="294"/>
      <c r="Z6" s="294"/>
      <c r="AA6" s="294"/>
      <c r="AB6" s="97">
        <v>0</v>
      </c>
      <c r="AC6" s="98">
        <v>0</v>
      </c>
    </row>
    <row r="7" spans="1:29">
      <c r="A7" s="298"/>
      <c r="B7" s="101" t="s">
        <v>529</v>
      </c>
      <c r="C7" s="101" t="s">
        <v>117</v>
      </c>
      <c r="D7" s="101" t="s">
        <v>117</v>
      </c>
      <c r="E7" s="100" t="s">
        <v>872</v>
      </c>
      <c r="F7" s="295">
        <v>0.39499200000000001</v>
      </c>
      <c r="G7" s="296">
        <v>0</v>
      </c>
      <c r="I7" s="102" t="s">
        <v>118</v>
      </c>
      <c r="J7" s="294"/>
      <c r="K7" s="294"/>
      <c r="L7" s="294"/>
      <c r="M7" s="97">
        <v>139.13</v>
      </c>
      <c r="N7" s="98">
        <v>193.8737999999999</v>
      </c>
      <c r="O7" s="36"/>
      <c r="P7" s="101" t="s">
        <v>540</v>
      </c>
      <c r="Q7" s="101">
        <v>0.03</v>
      </c>
      <c r="R7" s="101" t="s">
        <v>541</v>
      </c>
      <c r="S7" s="101" t="s">
        <v>117</v>
      </c>
      <c r="T7" s="105">
        <v>12</v>
      </c>
      <c r="U7" s="106">
        <v>0</v>
      </c>
      <c r="V7"/>
      <c r="W7"/>
      <c r="X7"/>
      <c r="Y7"/>
      <c r="Z7"/>
      <c r="AA7"/>
      <c r="AB7"/>
      <c r="AC7"/>
    </row>
    <row r="8" spans="1:29">
      <c r="A8" s="298"/>
      <c r="B8" s="101" t="s">
        <v>530</v>
      </c>
      <c r="C8" s="101" t="s">
        <v>117</v>
      </c>
      <c r="D8" s="101" t="s">
        <v>117</v>
      </c>
      <c r="E8" s="100" t="s">
        <v>530</v>
      </c>
      <c r="F8" s="295">
        <v>0.14791800000000002</v>
      </c>
      <c r="G8" s="296">
        <v>0</v>
      </c>
      <c r="I8"/>
      <c r="J8"/>
      <c r="K8"/>
      <c r="L8"/>
      <c r="M8"/>
      <c r="N8"/>
      <c r="P8" s="101" t="s">
        <v>542</v>
      </c>
      <c r="Q8" s="101">
        <v>0</v>
      </c>
      <c r="R8" s="101" t="s">
        <v>543</v>
      </c>
      <c r="S8" s="101">
        <v>9047861</v>
      </c>
      <c r="T8" s="105">
        <v>12</v>
      </c>
      <c r="U8" s="106">
        <v>0</v>
      </c>
      <c r="V8"/>
      <c r="W8"/>
      <c r="X8"/>
      <c r="Y8"/>
      <c r="Z8"/>
      <c r="AA8"/>
      <c r="AB8"/>
      <c r="AC8"/>
    </row>
    <row r="9" spans="1:29">
      <c r="A9" s="298"/>
      <c r="B9" s="101" t="s">
        <v>602</v>
      </c>
      <c r="C9" s="101" t="s">
        <v>117</v>
      </c>
      <c r="D9" s="101" t="s">
        <v>117</v>
      </c>
      <c r="E9" s="100" t="s">
        <v>117</v>
      </c>
      <c r="F9" s="295">
        <v>1.9139999999999999</v>
      </c>
      <c r="G9" s="296">
        <v>0</v>
      </c>
      <c r="I9"/>
      <c r="J9"/>
      <c r="K9"/>
      <c r="L9"/>
      <c r="M9"/>
      <c r="N9"/>
      <c r="P9" s="101" t="s">
        <v>544</v>
      </c>
      <c r="Q9" s="101">
        <v>0</v>
      </c>
      <c r="R9" s="101" t="s">
        <v>543</v>
      </c>
      <c r="S9" s="101">
        <v>13962</v>
      </c>
      <c r="T9" s="105">
        <v>12</v>
      </c>
      <c r="U9" s="106">
        <v>0</v>
      </c>
      <c r="V9"/>
      <c r="W9"/>
      <c r="X9"/>
      <c r="Y9"/>
      <c r="Z9"/>
      <c r="AA9"/>
      <c r="AB9"/>
      <c r="AC9"/>
    </row>
    <row r="10" spans="1:29">
      <c r="A10" s="298"/>
      <c r="B10" s="101" t="s">
        <v>741</v>
      </c>
      <c r="C10" s="101" t="s">
        <v>117</v>
      </c>
      <c r="D10" s="101" t="s">
        <v>117</v>
      </c>
      <c r="E10" s="100" t="s">
        <v>117</v>
      </c>
      <c r="F10" s="295">
        <v>0.35461999999999999</v>
      </c>
      <c r="G10" s="296">
        <v>0</v>
      </c>
      <c r="P10" s="101" t="s">
        <v>545</v>
      </c>
      <c r="Q10" s="101">
        <v>0</v>
      </c>
      <c r="R10" s="101" t="s">
        <v>546</v>
      </c>
      <c r="S10" s="101" t="s">
        <v>547</v>
      </c>
      <c r="T10" s="105">
        <v>1</v>
      </c>
      <c r="U10" s="106">
        <v>0</v>
      </c>
      <c r="V10"/>
      <c r="Z10" s="36"/>
      <c r="AA10" s="36"/>
      <c r="AB10" s="36"/>
      <c r="AC10" s="36"/>
    </row>
    <row r="11" spans="1:29">
      <c r="A11" s="298"/>
      <c r="B11" s="101" t="s">
        <v>744</v>
      </c>
      <c r="C11" s="101" t="s">
        <v>117</v>
      </c>
      <c r="D11" s="101" t="s">
        <v>117</v>
      </c>
      <c r="E11" s="100" t="s">
        <v>872</v>
      </c>
      <c r="F11" s="295">
        <v>2.8724050000000001</v>
      </c>
      <c r="G11" s="296">
        <v>0</v>
      </c>
      <c r="P11" s="101" t="s">
        <v>548</v>
      </c>
      <c r="Q11" s="101">
        <v>0</v>
      </c>
      <c r="R11" s="101" t="s">
        <v>546</v>
      </c>
      <c r="S11" s="101" t="s">
        <v>549</v>
      </c>
      <c r="T11" s="105">
        <v>10</v>
      </c>
      <c r="U11" s="106">
        <v>0</v>
      </c>
      <c r="V11"/>
      <c r="Z11" s="36"/>
      <c r="AA11" s="36"/>
      <c r="AB11" s="36"/>
      <c r="AC11" s="36"/>
    </row>
    <row r="12" spans="1:29">
      <c r="A12" s="298"/>
      <c r="B12" s="101" t="s">
        <v>766</v>
      </c>
      <c r="C12" s="101" t="s">
        <v>117</v>
      </c>
      <c r="D12" s="101" t="s">
        <v>117</v>
      </c>
      <c r="E12" s="100" t="s">
        <v>872</v>
      </c>
      <c r="F12" s="295">
        <v>2.3892319999999998</v>
      </c>
      <c r="G12" s="296">
        <v>0</v>
      </c>
      <c r="P12" s="101" t="s">
        <v>550</v>
      </c>
      <c r="Q12" s="101">
        <v>0</v>
      </c>
      <c r="R12" s="101" t="s">
        <v>546</v>
      </c>
      <c r="S12" s="101" t="s">
        <v>551</v>
      </c>
      <c r="T12" s="105">
        <v>4</v>
      </c>
      <c r="U12" s="106">
        <v>0</v>
      </c>
      <c r="V12"/>
      <c r="Z12" s="36"/>
      <c r="AA12" s="36"/>
      <c r="AB12" s="36"/>
      <c r="AC12" s="36"/>
    </row>
    <row r="13" spans="1:29">
      <c r="A13" s="298"/>
      <c r="B13" s="101" t="s">
        <v>807</v>
      </c>
      <c r="C13" s="101" t="s">
        <v>117</v>
      </c>
      <c r="D13" s="101" t="s">
        <v>117</v>
      </c>
      <c r="E13" s="100" t="s">
        <v>117</v>
      </c>
      <c r="F13" s="295">
        <v>2.0574079999999997</v>
      </c>
      <c r="G13" s="296">
        <v>0</v>
      </c>
      <c r="P13" s="101" t="s">
        <v>552</v>
      </c>
      <c r="Q13" s="101">
        <v>0</v>
      </c>
      <c r="R13" s="101" t="s">
        <v>546</v>
      </c>
      <c r="S13" s="101" t="s">
        <v>553</v>
      </c>
      <c r="T13" s="105">
        <v>4</v>
      </c>
      <c r="U13" s="106">
        <v>0</v>
      </c>
      <c r="V13"/>
      <c r="Z13" s="36"/>
      <c r="AA13" s="36"/>
      <c r="AB13" s="36"/>
      <c r="AC13" s="36"/>
    </row>
    <row r="14" spans="1:29" hidden="1">
      <c r="A14" s="102" t="s">
        <v>118</v>
      </c>
      <c r="B14" s="294"/>
      <c r="C14" s="294"/>
      <c r="D14" s="294"/>
      <c r="E14" s="294"/>
      <c r="F14" s="97">
        <v>28.148391999999998</v>
      </c>
      <c r="G14" s="98">
        <v>0</v>
      </c>
      <c r="P14" s="101" t="s">
        <v>554</v>
      </c>
      <c r="Q14" s="101">
        <v>0</v>
      </c>
      <c r="R14" s="101" t="s">
        <v>546</v>
      </c>
      <c r="S14" s="101" t="s">
        <v>555</v>
      </c>
      <c r="T14" s="105">
        <v>2</v>
      </c>
      <c r="U14" s="106">
        <v>0</v>
      </c>
      <c r="V14"/>
      <c r="Z14" s="36"/>
      <c r="AA14" s="36"/>
      <c r="AB14" s="36"/>
      <c r="AC14" s="36"/>
    </row>
    <row r="15" spans="1:29">
      <c r="D15" s="36"/>
      <c r="E15" s="36"/>
      <c r="F15" s="36"/>
      <c r="G15" s="36"/>
      <c r="P15" s="101" t="s">
        <v>556</v>
      </c>
      <c r="Q15" s="101">
        <v>0</v>
      </c>
      <c r="R15" s="101" t="s">
        <v>546</v>
      </c>
      <c r="S15" s="101">
        <v>609.15</v>
      </c>
      <c r="T15" s="105">
        <v>78</v>
      </c>
      <c r="U15" s="106">
        <v>0</v>
      </c>
      <c r="V15"/>
      <c r="Z15" s="36"/>
      <c r="AA15" s="36"/>
      <c r="AB15" s="36"/>
      <c r="AC15" s="36"/>
    </row>
    <row r="16" spans="1:29">
      <c r="D16" s="36"/>
      <c r="E16" s="36"/>
      <c r="F16" s="36"/>
      <c r="G16" s="36"/>
      <c r="P16" s="101" t="s">
        <v>557</v>
      </c>
      <c r="Q16" s="101">
        <v>0</v>
      </c>
      <c r="R16" s="101" t="s">
        <v>546</v>
      </c>
      <c r="S16" s="101">
        <v>609.16999999999996</v>
      </c>
      <c r="T16" s="105">
        <v>40</v>
      </c>
      <c r="U16" s="106">
        <v>0</v>
      </c>
      <c r="V16"/>
      <c r="Z16" s="36"/>
      <c r="AA16" s="36"/>
      <c r="AB16" s="36"/>
      <c r="AC16" s="36"/>
    </row>
    <row r="17" spans="12:21" s="36" customFormat="1">
      <c r="L17" s="44"/>
      <c r="M17" s="44"/>
      <c r="N17" s="44"/>
      <c r="O17" s="44"/>
      <c r="P17" s="101" t="s">
        <v>558</v>
      </c>
      <c r="Q17" s="101">
        <v>0</v>
      </c>
      <c r="R17" s="101" t="s">
        <v>546</v>
      </c>
      <c r="S17" s="101" t="s">
        <v>559</v>
      </c>
      <c r="T17" s="105">
        <v>16</v>
      </c>
      <c r="U17" s="106">
        <v>0</v>
      </c>
    </row>
    <row r="18" spans="12:21" s="36" customFormat="1">
      <c r="L18" s="44"/>
      <c r="M18" s="44"/>
      <c r="N18" s="44"/>
      <c r="O18" s="44"/>
      <c r="P18" s="101" t="s">
        <v>560</v>
      </c>
      <c r="Q18" s="101">
        <v>0</v>
      </c>
      <c r="R18" s="101" t="s">
        <v>117</v>
      </c>
      <c r="S18" s="101" t="s">
        <v>117</v>
      </c>
      <c r="T18" s="105">
        <v>16</v>
      </c>
      <c r="U18" s="106">
        <v>0</v>
      </c>
    </row>
    <row r="19" spans="12:21" s="36" customFormat="1">
      <c r="L19" s="44"/>
      <c r="M19" s="44"/>
      <c r="N19" s="44"/>
      <c r="O19" s="44"/>
      <c r="P19" s="101" t="s">
        <v>561</v>
      </c>
      <c r="Q19" s="101">
        <v>0</v>
      </c>
      <c r="R19" s="101" t="s">
        <v>117</v>
      </c>
      <c r="S19" s="101" t="s">
        <v>117</v>
      </c>
      <c r="T19" s="105">
        <v>8</v>
      </c>
      <c r="U19" s="106">
        <v>0</v>
      </c>
    </row>
    <row r="20" spans="12:21" s="36" customFormat="1">
      <c r="L20" s="44"/>
      <c r="M20" s="44"/>
      <c r="N20" s="44"/>
      <c r="O20" s="44"/>
      <c r="P20" s="101" t="s">
        <v>873</v>
      </c>
      <c r="Q20" s="101">
        <v>0</v>
      </c>
      <c r="R20" s="101" t="s">
        <v>117</v>
      </c>
      <c r="S20" s="101" t="s">
        <v>117</v>
      </c>
      <c r="T20" s="105">
        <v>1</v>
      </c>
      <c r="U20" s="106">
        <v>0</v>
      </c>
    </row>
    <row r="21" spans="12:21" s="36" customFormat="1">
      <c r="L21" s="44"/>
      <c r="M21" s="44"/>
      <c r="N21" s="44"/>
      <c r="O21" s="44"/>
      <c r="P21" s="101" t="s">
        <v>874</v>
      </c>
      <c r="Q21" s="101">
        <v>0</v>
      </c>
      <c r="R21" s="101" t="s">
        <v>117</v>
      </c>
      <c r="S21" s="101" t="s">
        <v>117</v>
      </c>
      <c r="T21" s="105">
        <v>4</v>
      </c>
      <c r="U21" s="106">
        <v>0</v>
      </c>
    </row>
    <row r="22" spans="12:21" s="36" customFormat="1">
      <c r="L22" s="44"/>
      <c r="M22" s="44"/>
      <c r="N22" s="44"/>
      <c r="O22" s="44"/>
      <c r="P22" s="101" t="s">
        <v>875</v>
      </c>
      <c r="Q22" s="101">
        <v>0</v>
      </c>
      <c r="R22" s="101" t="s">
        <v>117</v>
      </c>
      <c r="S22" s="101" t="s">
        <v>117</v>
      </c>
      <c r="T22" s="105">
        <v>4</v>
      </c>
      <c r="U22" s="106">
        <v>0</v>
      </c>
    </row>
    <row r="23" spans="12:21">
      <c r="P23" s="101" t="s">
        <v>876</v>
      </c>
      <c r="Q23" s="101">
        <v>0</v>
      </c>
      <c r="R23" s="101" t="s">
        <v>117</v>
      </c>
      <c r="S23" s="101" t="s">
        <v>117</v>
      </c>
      <c r="T23" s="105">
        <v>4</v>
      </c>
      <c r="U23" s="106">
        <v>0</v>
      </c>
    </row>
    <row r="24" spans="12:21">
      <c r="P24" s="101" t="s">
        <v>877</v>
      </c>
      <c r="Q24" s="101">
        <v>0</v>
      </c>
      <c r="R24" s="101" t="s">
        <v>117</v>
      </c>
      <c r="S24" s="101" t="s">
        <v>117</v>
      </c>
      <c r="T24" s="105">
        <v>4</v>
      </c>
      <c r="U24" s="106">
        <v>0</v>
      </c>
    </row>
    <row r="25" spans="12:21">
      <c r="P25" s="101" t="s">
        <v>878</v>
      </c>
      <c r="Q25" s="101">
        <v>0</v>
      </c>
      <c r="R25" s="101" t="s">
        <v>117</v>
      </c>
      <c r="S25" s="101" t="s">
        <v>117</v>
      </c>
      <c r="T25" s="105">
        <v>4</v>
      </c>
      <c r="U25" s="106">
        <v>0</v>
      </c>
    </row>
    <row r="26" spans="12:21">
      <c r="P26" s="101" t="s">
        <v>879</v>
      </c>
      <c r="Q26" s="101">
        <v>0</v>
      </c>
      <c r="R26" s="101" t="s">
        <v>117</v>
      </c>
      <c r="S26" s="101" t="s">
        <v>117</v>
      </c>
      <c r="T26" s="105">
        <v>16</v>
      </c>
      <c r="U26" s="106">
        <v>0</v>
      </c>
    </row>
    <row r="27" spans="12:21">
      <c r="P27" s="101" t="s">
        <v>880</v>
      </c>
      <c r="Q27" s="101">
        <v>0</v>
      </c>
      <c r="R27" s="101" t="s">
        <v>117</v>
      </c>
      <c r="S27" s="101" t="s">
        <v>117</v>
      </c>
      <c r="T27" s="105">
        <v>16</v>
      </c>
      <c r="U27" s="106">
        <v>0</v>
      </c>
    </row>
    <row r="28" spans="12:21">
      <c r="P28" s="101" t="s">
        <v>881</v>
      </c>
      <c r="Q28" s="101">
        <v>0</v>
      </c>
      <c r="R28" s="101" t="s">
        <v>117</v>
      </c>
      <c r="S28" s="101" t="s">
        <v>117</v>
      </c>
      <c r="T28" s="105">
        <v>16</v>
      </c>
      <c r="U28" s="106">
        <v>0</v>
      </c>
    </row>
    <row r="29" spans="12:21">
      <c r="P29" s="101" t="s">
        <v>882</v>
      </c>
      <c r="Q29" s="101">
        <v>0</v>
      </c>
      <c r="R29" s="101" t="s">
        <v>117</v>
      </c>
      <c r="S29" s="101" t="s">
        <v>117</v>
      </c>
      <c r="T29" s="105">
        <v>16</v>
      </c>
      <c r="U29" s="106">
        <v>0</v>
      </c>
    </row>
    <row r="30" spans="12:21">
      <c r="P30" s="101" t="s">
        <v>883</v>
      </c>
      <c r="Q30" s="101">
        <v>0</v>
      </c>
      <c r="R30" s="101" t="s">
        <v>117</v>
      </c>
      <c r="S30" s="101" t="s">
        <v>117</v>
      </c>
      <c r="T30" s="105">
        <v>16</v>
      </c>
      <c r="U30" s="106">
        <v>0</v>
      </c>
    </row>
    <row r="31" spans="12:21">
      <c r="P31" s="101" t="s">
        <v>884</v>
      </c>
      <c r="Q31" s="101">
        <v>0</v>
      </c>
      <c r="R31" s="101" t="s">
        <v>117</v>
      </c>
      <c r="S31" s="101" t="s">
        <v>117</v>
      </c>
      <c r="T31" s="105">
        <v>4</v>
      </c>
      <c r="U31" s="106">
        <v>0</v>
      </c>
    </row>
    <row r="32" spans="12:21">
      <c r="P32" s="101" t="s">
        <v>885</v>
      </c>
      <c r="Q32" s="101">
        <v>0</v>
      </c>
      <c r="R32" s="101" t="s">
        <v>117</v>
      </c>
      <c r="S32" s="101" t="s">
        <v>117</v>
      </c>
      <c r="T32" s="105">
        <v>4</v>
      </c>
      <c r="U32" s="106">
        <v>0</v>
      </c>
    </row>
    <row r="33" spans="16:21">
      <c r="P33" s="101" t="s">
        <v>886</v>
      </c>
      <c r="Q33" s="101">
        <v>0</v>
      </c>
      <c r="R33" s="101" t="s">
        <v>117</v>
      </c>
      <c r="S33" s="101" t="s">
        <v>117</v>
      </c>
      <c r="T33" s="105">
        <v>4</v>
      </c>
      <c r="U33" s="106">
        <v>0</v>
      </c>
    </row>
    <row r="34" spans="16:21">
      <c r="P34" s="101" t="s">
        <v>887</v>
      </c>
      <c r="Q34" s="101">
        <v>0</v>
      </c>
      <c r="R34" s="101" t="s">
        <v>117</v>
      </c>
      <c r="S34" s="101" t="s">
        <v>117</v>
      </c>
      <c r="T34" s="105">
        <v>4</v>
      </c>
      <c r="U34" s="106">
        <v>0</v>
      </c>
    </row>
    <row r="35" spans="16:21">
      <c r="P35" s="101" t="s">
        <v>888</v>
      </c>
      <c r="Q35" s="101">
        <v>0</v>
      </c>
      <c r="R35" s="101" t="s">
        <v>117</v>
      </c>
      <c r="S35" s="101" t="s">
        <v>117</v>
      </c>
      <c r="T35" s="105">
        <v>4</v>
      </c>
      <c r="U35" s="106">
        <v>0</v>
      </c>
    </row>
    <row r="36" spans="16:21">
      <c r="P36" s="101" t="s">
        <v>889</v>
      </c>
      <c r="Q36" s="101">
        <v>0</v>
      </c>
      <c r="R36" s="101" t="s">
        <v>117</v>
      </c>
      <c r="S36" s="101" t="s">
        <v>117</v>
      </c>
      <c r="T36" s="105">
        <v>2</v>
      </c>
      <c r="U36" s="106">
        <v>0</v>
      </c>
    </row>
    <row r="37" spans="16:21">
      <c r="P37" s="101" t="s">
        <v>890</v>
      </c>
      <c r="Q37" s="101">
        <v>0</v>
      </c>
      <c r="R37" s="101" t="s">
        <v>546</v>
      </c>
      <c r="S37" s="101" t="s">
        <v>891</v>
      </c>
      <c r="T37" s="105">
        <v>1</v>
      </c>
      <c r="U37" s="106">
        <v>0</v>
      </c>
    </row>
    <row r="38" spans="16:21">
      <c r="P38" s="101" t="s">
        <v>892</v>
      </c>
      <c r="Q38" s="101">
        <v>0</v>
      </c>
      <c r="R38" s="101" t="s">
        <v>546</v>
      </c>
      <c r="S38" s="101" t="s">
        <v>893</v>
      </c>
      <c r="T38" s="105">
        <v>2</v>
      </c>
      <c r="U38" s="106">
        <v>0</v>
      </c>
    </row>
    <row r="39" spans="16:21">
      <c r="P39" s="101" t="s">
        <v>894</v>
      </c>
      <c r="Q39" s="101">
        <v>0</v>
      </c>
      <c r="R39" s="101" t="s">
        <v>546</v>
      </c>
      <c r="S39" s="101" t="s">
        <v>895</v>
      </c>
      <c r="T39" s="105">
        <v>1</v>
      </c>
      <c r="U39" s="106">
        <v>0</v>
      </c>
    </row>
    <row r="40" spans="16:21">
      <c r="P40" s="101" t="s">
        <v>896</v>
      </c>
      <c r="Q40" s="101">
        <v>0</v>
      </c>
      <c r="R40" s="101" t="s">
        <v>546</v>
      </c>
      <c r="S40" s="101" t="s">
        <v>897</v>
      </c>
      <c r="T40" s="105">
        <v>2</v>
      </c>
      <c r="U40" s="106">
        <v>0</v>
      </c>
    </row>
    <row r="41" spans="16:21">
      <c r="P41" s="101" t="s">
        <v>898</v>
      </c>
      <c r="Q41" s="101">
        <v>0</v>
      </c>
      <c r="R41" s="101" t="s">
        <v>546</v>
      </c>
      <c r="S41" s="101" t="s">
        <v>899</v>
      </c>
      <c r="T41" s="105">
        <v>2</v>
      </c>
      <c r="U41" s="106">
        <v>0</v>
      </c>
    </row>
    <row r="42" spans="16:21">
      <c r="P42" s="101" t="s">
        <v>900</v>
      </c>
      <c r="Q42" s="101">
        <v>0</v>
      </c>
      <c r="R42" s="101" t="s">
        <v>546</v>
      </c>
      <c r="S42" s="101" t="s">
        <v>901</v>
      </c>
      <c r="T42" s="105">
        <v>1</v>
      </c>
      <c r="U42" s="106">
        <v>0</v>
      </c>
    </row>
    <row r="43" spans="16:21">
      <c r="P43" s="101" t="s">
        <v>902</v>
      </c>
      <c r="Q43" s="101">
        <v>0</v>
      </c>
      <c r="R43" s="101" t="s">
        <v>546</v>
      </c>
      <c r="S43" s="101" t="s">
        <v>903</v>
      </c>
      <c r="T43" s="105">
        <v>2</v>
      </c>
      <c r="U43" s="106">
        <v>0</v>
      </c>
    </row>
    <row r="44" spans="16:21">
      <c r="P44" s="101" t="s">
        <v>904</v>
      </c>
      <c r="Q44" s="101">
        <v>0</v>
      </c>
      <c r="R44" s="101" t="s">
        <v>546</v>
      </c>
      <c r="S44" s="101" t="s">
        <v>905</v>
      </c>
      <c r="T44" s="105">
        <v>2</v>
      </c>
      <c r="U44" s="106">
        <v>0</v>
      </c>
    </row>
    <row r="45" spans="16:21">
      <c r="P45" s="101" t="s">
        <v>906</v>
      </c>
      <c r="Q45" s="101">
        <v>0</v>
      </c>
      <c r="R45" s="101" t="s">
        <v>546</v>
      </c>
      <c r="S45" s="101" t="s">
        <v>907</v>
      </c>
      <c r="T45" s="105">
        <v>2</v>
      </c>
      <c r="U45" s="106">
        <v>0</v>
      </c>
    </row>
    <row r="46" spans="16:21">
      <c r="P46" s="101" t="s">
        <v>908</v>
      </c>
      <c r="Q46" s="101">
        <v>0</v>
      </c>
      <c r="R46" s="101" t="s">
        <v>546</v>
      </c>
      <c r="S46" s="101" t="s">
        <v>907</v>
      </c>
      <c r="T46" s="105">
        <v>2</v>
      </c>
      <c r="U46" s="106">
        <v>0</v>
      </c>
    </row>
    <row r="47" spans="16:21">
      <c r="P47" s="101" t="s">
        <v>909</v>
      </c>
      <c r="Q47" s="101">
        <v>0</v>
      </c>
      <c r="R47" s="101" t="s">
        <v>546</v>
      </c>
      <c r="S47" s="101" t="s">
        <v>910</v>
      </c>
      <c r="T47" s="105">
        <v>1</v>
      </c>
      <c r="U47" s="106">
        <v>0</v>
      </c>
    </row>
    <row r="48" spans="16:21">
      <c r="P48" s="101" t="s">
        <v>911</v>
      </c>
      <c r="Q48" s="101">
        <v>0</v>
      </c>
      <c r="R48" s="101" t="s">
        <v>546</v>
      </c>
      <c r="S48" s="101" t="s">
        <v>912</v>
      </c>
      <c r="T48" s="105">
        <v>1</v>
      </c>
      <c r="U48" s="106">
        <v>0</v>
      </c>
    </row>
    <row r="49" spans="16:21">
      <c r="P49" s="101" t="s">
        <v>913</v>
      </c>
      <c r="Q49" s="101">
        <v>0</v>
      </c>
      <c r="R49" s="101" t="s">
        <v>546</v>
      </c>
      <c r="S49" s="101" t="s">
        <v>914</v>
      </c>
      <c r="T49" s="105">
        <v>4</v>
      </c>
      <c r="U49" s="106">
        <v>0</v>
      </c>
    </row>
    <row r="50" spans="16:21">
      <c r="P50" s="101" t="s">
        <v>915</v>
      </c>
      <c r="Q50" s="101">
        <v>0</v>
      </c>
      <c r="R50" s="101" t="s">
        <v>546</v>
      </c>
      <c r="S50" s="101" t="s">
        <v>916</v>
      </c>
      <c r="T50" s="105">
        <v>1</v>
      </c>
      <c r="U50" s="106">
        <v>0</v>
      </c>
    </row>
    <row r="51" spans="16:21">
      <c r="P51" s="101" t="s">
        <v>917</v>
      </c>
      <c r="Q51" s="101">
        <v>0</v>
      </c>
      <c r="R51" s="101" t="s">
        <v>546</v>
      </c>
      <c r="S51" s="101" t="s">
        <v>918</v>
      </c>
      <c r="T51" s="105">
        <v>1</v>
      </c>
      <c r="U51" s="106">
        <v>0</v>
      </c>
    </row>
    <row r="52" spans="16:21">
      <c r="P52" s="101" t="s">
        <v>919</v>
      </c>
      <c r="Q52" s="101">
        <v>0</v>
      </c>
      <c r="R52" s="101" t="s">
        <v>546</v>
      </c>
      <c r="S52" s="101" t="s">
        <v>920</v>
      </c>
      <c r="T52" s="105">
        <v>4</v>
      </c>
      <c r="U52" s="106">
        <v>0</v>
      </c>
    </row>
    <row r="53" spans="16:21">
      <c r="P53" s="101" t="s">
        <v>921</v>
      </c>
      <c r="Q53" s="101">
        <v>0</v>
      </c>
      <c r="R53" s="101" t="s">
        <v>546</v>
      </c>
      <c r="S53" s="101" t="s">
        <v>922</v>
      </c>
      <c r="T53" s="105">
        <v>2</v>
      </c>
      <c r="U53" s="106">
        <v>0</v>
      </c>
    </row>
    <row r="54" spans="16:21">
      <c r="P54" s="102" t="s">
        <v>118</v>
      </c>
      <c r="Q54" s="294"/>
      <c r="R54" s="294"/>
      <c r="S54" s="294"/>
      <c r="T54" s="103">
        <v>570</v>
      </c>
      <c r="U54" s="104">
        <v>0</v>
      </c>
    </row>
  </sheetData>
  <conditionalFormatting sqref="A12:C13 A7:C7 A4:A5 A3:E3 O3:O4 A15:O65536 H7:K7 H4:I5 H6:J6 A2:S2 G3:L3 P3:P5 A6:B6 H8:L9 O8:O9 A14:E14 H10:O14">
    <cfRule type="cellIs" dxfId="6" priority="7" stopIfTrue="1" operator="equal">
      <formula>"(blank)"</formula>
    </cfRule>
  </conditionalFormatting>
  <conditionalFormatting sqref="L3">
    <cfRule type="cellIs" dxfId="5" priority="6" stopIfTrue="1" operator="equal">
      <formula>"(blank)"</formula>
    </cfRule>
  </conditionalFormatting>
  <conditionalFormatting sqref="P2:S2">
    <cfRule type="cellIs" dxfId="4" priority="5" stopIfTrue="1" operator="equal">
      <formula>"(blank)"</formula>
    </cfRule>
  </conditionalFormatting>
  <conditionalFormatting sqref="M3:N3">
    <cfRule type="cellIs" dxfId="3" priority="4" stopIfTrue="1" operator="equal">
      <formula>"(blank)"</formula>
    </cfRule>
  </conditionalFormatting>
  <conditionalFormatting sqref="M3:N3">
    <cfRule type="cellIs" dxfId="2" priority="3" stopIfTrue="1" operator="equal">
      <formula>"(blank)"</formula>
    </cfRule>
  </conditionalFormatting>
  <conditionalFormatting sqref="T2">
    <cfRule type="cellIs" dxfId="1" priority="2" stopIfTrue="1" operator="equal">
      <formula>"(blank)"</formula>
    </cfRule>
  </conditionalFormatting>
  <conditionalFormatting sqref="W12:Y13 W7:Y7 W4:W5 W3:AA3 W14:AD65536 AD4:AD13 W2:AD2 AC3:AD3 W6:X6">
    <cfRule type="cellIs" dxfId="0" priority="1" stopIfTrue="1" operator="equal">
      <formula>"(blank)"</formula>
    </cfRule>
  </conditionalFormatting>
  <pageMargins left="0.7" right="0.7" top="0.75" bottom="0.75" header="0.3" footer="0.3"/>
  <pageSetup paperSize="9" orientation="landscape"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C9F7F-00BA-41CF-B673-C3CF21B3BFDA}">
  <sheetPr codeName="Feuil3"/>
  <dimension ref="A1:Z33"/>
  <sheetViews>
    <sheetView workbookViewId="0">
      <selection activeCell="S7" sqref="S7"/>
    </sheetView>
  </sheetViews>
  <sheetFormatPr defaultColWidth="11.453125" defaultRowHeight="60" customHeight="1"/>
  <cols>
    <col min="1" max="1" width="25.6328125" customWidth="1"/>
    <col min="2" max="2" width="3.90625" bestFit="1" customWidth="1"/>
    <col min="3" max="3" width="20.6328125" customWidth="1"/>
    <col min="4" max="4" width="20.6328125" style="1" customWidth="1"/>
    <col min="5" max="6" width="15.90625" style="1" customWidth="1"/>
    <col min="7" max="12" width="6.6328125" customWidth="1"/>
    <col min="13" max="13" width="9.08984375" customWidth="1"/>
    <col min="14" max="14" width="12.6328125" customWidth="1"/>
    <col min="15" max="16" width="9.08984375" customWidth="1"/>
    <col min="17" max="17" width="9.453125" customWidth="1"/>
    <col min="18" max="18" width="20.6328125" style="7" customWidth="1"/>
    <col min="19" max="19" width="9.08984375" customWidth="1"/>
    <col min="20" max="20" width="20.6328125" customWidth="1"/>
    <col min="21" max="21" width="9.08984375" customWidth="1"/>
    <col min="22" max="22" width="20.6328125" customWidth="1"/>
    <col min="23" max="23" width="9.08984375" customWidth="1"/>
    <col min="24" max="24" width="20.6328125" customWidth="1"/>
    <col min="25" max="25" width="9.08984375" customWidth="1"/>
    <col min="26" max="26" width="20.6328125" customWidth="1"/>
  </cols>
  <sheetData>
    <row r="1" spans="1:26" ht="26">
      <c r="A1" s="192"/>
      <c r="B1" s="192"/>
      <c r="C1" s="192"/>
      <c r="D1" s="192"/>
      <c r="E1" s="192"/>
      <c r="F1" s="192"/>
      <c r="G1" s="192"/>
      <c r="H1" s="192"/>
      <c r="I1" s="192"/>
      <c r="J1" s="192"/>
      <c r="K1" s="192"/>
      <c r="L1" s="192"/>
    </row>
    <row r="2" spans="1:26" ht="25.5" customHeight="1">
      <c r="D2"/>
      <c r="E2"/>
      <c r="F2"/>
    </row>
    <row r="3" spans="1:26" ht="61.5" customHeight="1">
      <c r="A3" s="2" t="s">
        <v>60</v>
      </c>
      <c r="B3" s="2" t="s">
        <v>62</v>
      </c>
      <c r="C3" s="13" t="s">
        <v>61</v>
      </c>
      <c r="D3" s="2" t="str">
        <f>VLOOKUP("Material",Tp_LANGUAGE!$A$2:$Z$1001,MATCH(Tp_Global!$J$6,Tp_LANGUAGE!$A$1:$Z$1,0),FALSE)</f>
        <v>Material</v>
      </c>
      <c r="E3" s="2" t="str">
        <f>VLOOKUP("Supplier",Tp_LANGUAGE!$A$2:$Z$1001,MATCH(Tp_Global!$J$6,Tp_LANGUAGE!$A$1:$Z$1,0),FALSE)</f>
        <v>Supplier</v>
      </c>
      <c r="F3" s="2" t="s">
        <v>66</v>
      </c>
      <c r="G3" s="3" t="s">
        <v>1</v>
      </c>
      <c r="H3" s="3" t="s">
        <v>2</v>
      </c>
      <c r="I3" s="3" t="s">
        <v>3</v>
      </c>
      <c r="J3" s="3" t="s">
        <v>67</v>
      </c>
      <c r="K3" s="3" t="s">
        <v>63</v>
      </c>
      <c r="L3" s="3" t="s">
        <v>64</v>
      </c>
      <c r="N3" s="281" t="s">
        <v>55</v>
      </c>
      <c r="O3" s="281"/>
      <c r="Q3" s="282" t="s">
        <v>4</v>
      </c>
      <c r="R3" s="283"/>
      <c r="S3" s="284"/>
      <c r="T3" s="284"/>
      <c r="U3" s="284"/>
      <c r="V3" s="284"/>
      <c r="W3" s="284"/>
      <c r="X3" s="284"/>
      <c r="Y3" s="284"/>
      <c r="Z3" s="284"/>
    </row>
    <row r="4" spans="1:26" ht="60" customHeight="1">
      <c r="A4" s="9"/>
      <c r="B4" s="9"/>
      <c r="C4" s="15"/>
      <c r="D4" s="5"/>
      <c r="E4" s="6"/>
      <c r="F4" s="6"/>
      <c r="G4" s="15"/>
      <c r="H4" s="9"/>
      <c r="I4" s="9"/>
      <c r="J4" s="16">
        <f>(G4*H4)/(1000^2)</f>
        <v>0</v>
      </c>
      <c r="K4" s="6"/>
      <c r="L4" s="6"/>
      <c r="N4" s="9" t="s">
        <v>56</v>
      </c>
      <c r="O4" s="9">
        <v>60</v>
      </c>
      <c r="Q4" s="10" t="s">
        <v>5</v>
      </c>
      <c r="S4" s="11" t="s">
        <v>35</v>
      </c>
      <c r="T4" s="12"/>
      <c r="U4" s="11" t="s">
        <v>40</v>
      </c>
      <c r="V4" s="12"/>
      <c r="W4" s="11" t="s">
        <v>41</v>
      </c>
      <c r="X4" s="12"/>
      <c r="Y4" s="11" t="s">
        <v>42</v>
      </c>
      <c r="Z4" s="12"/>
    </row>
    <row r="5" spans="1:26" ht="60" customHeight="1">
      <c r="N5" s="9" t="s">
        <v>106</v>
      </c>
      <c r="O5" s="9">
        <v>1</v>
      </c>
      <c r="Q5" s="10" t="s">
        <v>6</v>
      </c>
      <c r="S5" s="14" t="s">
        <v>36</v>
      </c>
      <c r="T5" s="4"/>
      <c r="U5" s="11" t="s">
        <v>43</v>
      </c>
      <c r="V5" s="4"/>
      <c r="W5" s="11" t="s">
        <v>47</v>
      </c>
      <c r="X5" s="4"/>
      <c r="Y5" s="11" t="s">
        <v>51</v>
      </c>
      <c r="Z5" s="4"/>
    </row>
    <row r="6" spans="1:26" ht="60" customHeight="1">
      <c r="N6" s="9" t="s">
        <v>107</v>
      </c>
      <c r="O6" s="9">
        <v>1</v>
      </c>
      <c r="Q6" s="10" t="s">
        <v>7</v>
      </c>
      <c r="S6" s="14" t="s">
        <v>37</v>
      </c>
      <c r="T6" s="8"/>
      <c r="U6" s="11" t="s">
        <v>44</v>
      </c>
      <c r="V6" s="8"/>
      <c r="W6" s="11" t="s">
        <v>48</v>
      </c>
      <c r="X6" s="8"/>
      <c r="Y6" s="11" t="s">
        <v>52</v>
      </c>
      <c r="Z6" s="8"/>
    </row>
    <row r="7" spans="1:26" ht="60" customHeight="1">
      <c r="N7" s="9" t="s">
        <v>57</v>
      </c>
      <c r="O7" s="9">
        <v>1</v>
      </c>
      <c r="Q7" s="10" t="s">
        <v>8</v>
      </c>
      <c r="S7" s="14" t="s">
        <v>38</v>
      </c>
      <c r="T7" s="8"/>
      <c r="U7" s="11" t="s">
        <v>45</v>
      </c>
      <c r="V7" s="8"/>
      <c r="W7" s="11" t="s">
        <v>49</v>
      </c>
      <c r="X7" s="8"/>
      <c r="Y7" s="11" t="s">
        <v>53</v>
      </c>
      <c r="Z7" s="8"/>
    </row>
    <row r="8" spans="1:26" ht="60" customHeight="1">
      <c r="D8"/>
      <c r="E8"/>
      <c r="F8"/>
      <c r="N8" s="9" t="s">
        <v>58</v>
      </c>
      <c r="O8" s="9">
        <v>1</v>
      </c>
      <c r="Q8" s="10" t="s">
        <v>9</v>
      </c>
      <c r="S8" s="14" t="s">
        <v>39</v>
      </c>
      <c r="T8" s="5"/>
      <c r="U8" s="11" t="s">
        <v>46</v>
      </c>
      <c r="V8" s="5"/>
      <c r="W8" s="11" t="s">
        <v>50</v>
      </c>
      <c r="X8" s="5"/>
      <c r="Y8" s="11" t="s">
        <v>54</v>
      </c>
      <c r="Z8" s="5"/>
    </row>
    <row r="9" spans="1:26" ht="60" customHeight="1">
      <c r="D9"/>
      <c r="E9"/>
      <c r="F9"/>
      <c r="N9" s="9" t="s">
        <v>59</v>
      </c>
      <c r="O9" s="9">
        <v>1</v>
      </c>
      <c r="Q9" s="10" t="s">
        <v>10</v>
      </c>
    </row>
    <row r="10" spans="1:26" ht="60" customHeight="1">
      <c r="D10"/>
      <c r="E10"/>
      <c r="F10"/>
      <c r="N10" s="18" t="s">
        <v>71</v>
      </c>
      <c r="O10" s="18">
        <v>4</v>
      </c>
      <c r="Q10" s="10" t="s">
        <v>11</v>
      </c>
    </row>
    <row r="11" spans="1:26" ht="60" customHeight="1">
      <c r="D11"/>
      <c r="E11"/>
      <c r="F11"/>
      <c r="N11" s="15" t="s">
        <v>70</v>
      </c>
      <c r="O11" s="9">
        <v>0</v>
      </c>
      <c r="Q11" s="10" t="s">
        <v>12</v>
      </c>
      <c r="R11"/>
    </row>
    <row r="12" spans="1:26" ht="60" customHeight="1">
      <c r="D12"/>
      <c r="E12"/>
      <c r="F12"/>
      <c r="N12" s="32" t="s">
        <v>105</v>
      </c>
      <c r="O12" s="33">
        <v>0</v>
      </c>
      <c r="Q12" s="10" t="s">
        <v>13</v>
      </c>
      <c r="R12"/>
    </row>
    <row r="13" spans="1:26" ht="60" customHeight="1">
      <c r="D13"/>
      <c r="E13"/>
      <c r="F13"/>
      <c r="Q13" s="10" t="s">
        <v>14</v>
      </c>
    </row>
    <row r="14" spans="1:26" ht="60" customHeight="1">
      <c r="Q14" s="10" t="s">
        <v>15</v>
      </c>
    </row>
    <row r="15" spans="1:26" ht="60" customHeight="1">
      <c r="Q15" s="10" t="s">
        <v>16</v>
      </c>
      <c r="R15" s="8"/>
    </row>
    <row r="16" spans="1:26" ht="60" customHeight="1">
      <c r="Q16" s="10" t="s">
        <v>17</v>
      </c>
      <c r="R16" s="8"/>
    </row>
    <row r="17" spans="17:18" ht="60" customHeight="1">
      <c r="Q17" s="10" t="s">
        <v>18</v>
      </c>
      <c r="R17" s="8"/>
    </row>
    <row r="18" spans="17:18" ht="60" customHeight="1">
      <c r="Q18" s="10" t="s">
        <v>19</v>
      </c>
      <c r="R18" s="8"/>
    </row>
    <row r="19" spans="17:18" ht="60" customHeight="1">
      <c r="Q19" s="10" t="s">
        <v>20</v>
      </c>
      <c r="R19" s="8"/>
    </row>
    <row r="20" spans="17:18" ht="60" customHeight="1">
      <c r="Q20" s="10" t="s">
        <v>21</v>
      </c>
      <c r="R20" s="8"/>
    </row>
    <row r="21" spans="17:18" ht="60" customHeight="1">
      <c r="Q21" s="10" t="s">
        <v>22</v>
      </c>
      <c r="R21" s="8"/>
    </row>
    <row r="22" spans="17:18" ht="60" customHeight="1">
      <c r="Q22" s="10" t="s">
        <v>23</v>
      </c>
      <c r="R22" s="8"/>
    </row>
    <row r="23" spans="17:18" ht="60" customHeight="1">
      <c r="Q23" s="10" t="s">
        <v>24</v>
      </c>
      <c r="R23" s="8"/>
    </row>
    <row r="24" spans="17:18" ht="60" customHeight="1">
      <c r="Q24" s="10" t="s">
        <v>25</v>
      </c>
      <c r="R24" s="8"/>
    </row>
    <row r="25" spans="17:18" ht="60" customHeight="1">
      <c r="Q25" s="10" t="s">
        <v>26</v>
      </c>
      <c r="R25" s="8"/>
    </row>
    <row r="26" spans="17:18" ht="60" customHeight="1">
      <c r="Q26" s="10" t="s">
        <v>27</v>
      </c>
      <c r="R26" s="8"/>
    </row>
    <row r="27" spans="17:18" ht="60" customHeight="1">
      <c r="Q27" s="10" t="s">
        <v>28</v>
      </c>
      <c r="R27" s="8"/>
    </row>
    <row r="28" spans="17:18" ht="60" customHeight="1">
      <c r="Q28" s="10" t="s">
        <v>29</v>
      </c>
      <c r="R28" s="8"/>
    </row>
    <row r="29" spans="17:18" ht="60" customHeight="1">
      <c r="Q29" s="10" t="s">
        <v>30</v>
      </c>
      <c r="R29" s="8"/>
    </row>
    <row r="30" spans="17:18" ht="60" customHeight="1">
      <c r="Q30" s="10" t="s">
        <v>31</v>
      </c>
      <c r="R30" s="8"/>
    </row>
    <row r="31" spans="17:18" ht="60" customHeight="1">
      <c r="Q31" s="10" t="s">
        <v>32</v>
      </c>
      <c r="R31" s="8"/>
    </row>
    <row r="32" spans="17:18" ht="60" customHeight="1">
      <c r="Q32" s="10" t="s">
        <v>33</v>
      </c>
      <c r="R32" s="8"/>
    </row>
    <row r="33" spans="17:18" ht="60" customHeight="1">
      <c r="Q33" s="10" t="s">
        <v>34</v>
      </c>
      <c r="R33" s="8"/>
    </row>
  </sheetData>
  <mergeCells count="3">
    <mergeCell ref="A1:L1"/>
    <mergeCell ref="N3:O3"/>
    <mergeCell ref="Q3:Z3"/>
  </mergeCells>
  <printOptions horizontalCentered="1"/>
  <pageMargins left="3.937007874015748E-2" right="3.937007874015748E-2" top="3.937007874015748E-2" bottom="3.937007874015748E-2" header="0.31496062992125984" footer="0.31496062992125984"/>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0B6780E017B21469B484B9A0C29C2FA" ma:contentTypeVersion="12" ma:contentTypeDescription="Create a new document." ma:contentTypeScope="" ma:versionID="85e03ea1e4910147a1fc037374aa8a39">
  <xsd:schema xmlns:xsd="http://www.w3.org/2001/XMLSchema" xmlns:xs="http://www.w3.org/2001/XMLSchema" xmlns:p="http://schemas.microsoft.com/office/2006/metadata/properties" xmlns:ns2="bcdfd5ec-cbef-4fa3-b2f9-7fbfd68e4b2e" xmlns:ns3="172301ee-0e4b-4ebb-a841-f952809ec50f" targetNamespace="http://schemas.microsoft.com/office/2006/metadata/properties" ma:root="true" ma:fieldsID="ade23dbd28da4d7557cf12dee7992068" ns2:_="" ns3:_="">
    <xsd:import namespace="bcdfd5ec-cbef-4fa3-b2f9-7fbfd68e4b2e"/>
    <xsd:import namespace="172301ee-0e4b-4ebb-a841-f952809ec50f"/>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cdfd5ec-cbef-4fa3-b2f9-7fbfd68e4b2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72301ee-0e4b-4ebb-a841-f952809ec50f"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C4B0DE4-40EC-44C9-B67E-0FB8E86F5E08}">
  <ds:schemaRefs>
    <ds:schemaRef ds:uri="http://schemas.microsoft.com/sharepoint/v3/contenttype/forms"/>
  </ds:schemaRefs>
</ds:datastoreItem>
</file>

<file path=customXml/itemProps2.xml><?xml version="1.0" encoding="utf-8"?>
<ds:datastoreItem xmlns:ds="http://schemas.openxmlformats.org/officeDocument/2006/customXml" ds:itemID="{9F373D08-4CA2-491A-B7E6-0E914072BDC1}">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53F8958B-2910-43D6-B05D-693C8C9B8B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cdfd5ec-cbef-4fa3-b2f9-7fbfd68e4b2e"/>
    <ds:schemaRef ds:uri="172301ee-0e4b-4ebb-a841-f952809ec50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469</vt:i4>
      </vt:variant>
    </vt:vector>
  </HeadingPairs>
  <TitlesOfParts>
    <vt:vector size="489" baseType="lpstr">
      <vt:lpstr>PARTLIST</vt:lpstr>
      <vt:lpstr>LABEL</vt:lpstr>
      <vt:lpstr>HARDWARE_LIST</vt:lpstr>
      <vt:lpstr>HARDWARE</vt:lpstr>
      <vt:lpstr>EDGEBAND</vt:lpstr>
      <vt:lpstr>STOCK_CORE</vt:lpstr>
      <vt:lpstr>Tp_Global</vt:lpstr>
      <vt:lpstr>Tp_LANGUAGE</vt:lpstr>
      <vt:lpstr>Tp_STOCK_CORE</vt:lpstr>
      <vt:lpstr>Tp_FINISH</vt:lpstr>
      <vt:lpstr>Tp_EDGEBAND</vt:lpstr>
      <vt:lpstr>Tp_HARDWARE</vt:lpstr>
      <vt:lpstr>Tp_HARDWARE_LIST</vt:lpstr>
      <vt:lpstr>Tp_PARTLIST</vt:lpstr>
      <vt:lpstr>Tp_MULTIBODIES</vt:lpstr>
      <vt:lpstr>Tp_PRODUCT</vt:lpstr>
      <vt:lpstr>Tp_WELDMENTS</vt:lpstr>
      <vt:lpstr>Tp_LABEL</vt:lpstr>
      <vt:lpstr>SUMMARY</vt:lpstr>
      <vt:lpstr>Tp_NESTING_B</vt:lpstr>
      <vt:lpstr>Tp_NESTING_B!_BOO1</vt:lpstr>
      <vt:lpstr>Tp_NESTING_B!_BOO2</vt:lpstr>
      <vt:lpstr>Tp_NESTING_B!_BOO3</vt:lpstr>
      <vt:lpstr>Tp_NESTING_B!_BOO4</vt:lpstr>
      <vt:lpstr>Tp_NESTING_B!_BOO5</vt:lpstr>
      <vt:lpstr>Tp_NESTING_B!_DOU1</vt:lpstr>
      <vt:lpstr>Tp_NESTING_B!_DOU2</vt:lpstr>
      <vt:lpstr>Tp_NESTING_B!_DOU3</vt:lpstr>
      <vt:lpstr>Tp_NESTING_B!_DOU4</vt:lpstr>
      <vt:lpstr>Tp_NESTING_B!_DOU5</vt:lpstr>
      <vt:lpstr>Tp_EDGEBAND!_IMG1</vt:lpstr>
      <vt:lpstr>Tp_FINISH!_IMG1</vt:lpstr>
      <vt:lpstr>Tp_HARDWARE!_IMG1</vt:lpstr>
      <vt:lpstr>Tp_HARDWARE_LIST!_IMG1</vt:lpstr>
      <vt:lpstr>Tp_LABEL!_IMG1</vt:lpstr>
      <vt:lpstr>Tp_PARTLIST!_IMG1</vt:lpstr>
      <vt:lpstr>Tp_STOCK_CORE!_IMG1</vt:lpstr>
      <vt:lpstr>Tp_NESTING_B!_INT1</vt:lpstr>
      <vt:lpstr>Tp_NESTING_B!_INT2</vt:lpstr>
      <vt:lpstr>Tp_NESTING_B!_INT3</vt:lpstr>
      <vt:lpstr>Tp_NESTING_B!_INT4</vt:lpstr>
      <vt:lpstr>Tp_NESTING_B!_INT5</vt:lpstr>
      <vt:lpstr>PARTLIST!_STR1</vt:lpstr>
      <vt:lpstr>Tp_EDGEBAND!_STR1</vt:lpstr>
      <vt:lpstr>Tp_FINISH!_STR1</vt:lpstr>
      <vt:lpstr>Tp_HARDWARE!_STR1</vt:lpstr>
      <vt:lpstr>Tp_HARDWARE_LIST!_STR1</vt:lpstr>
      <vt:lpstr>Tp_LABEL!_STR1</vt:lpstr>
      <vt:lpstr>Tp_NESTING_B!_STR1</vt:lpstr>
      <vt:lpstr>Tp_PARTLIST!_STR1</vt:lpstr>
      <vt:lpstr>Tp_STOCK_CORE!_STR1</vt:lpstr>
      <vt:lpstr>HARDWARE!_STR10</vt:lpstr>
      <vt:lpstr>HARDWARE_LIST!_STR10</vt:lpstr>
      <vt:lpstr>Tp_EDGEBAND!_STR10</vt:lpstr>
      <vt:lpstr>Tp_FINISH!_STR10</vt:lpstr>
      <vt:lpstr>Tp_HARDWARE!_STR10</vt:lpstr>
      <vt:lpstr>Tp_HARDWARE_LIST!_STR10</vt:lpstr>
      <vt:lpstr>Tp_LABEL!_STR10</vt:lpstr>
      <vt:lpstr>Tp_NESTING_B!_STR10</vt:lpstr>
      <vt:lpstr>Tp_PARTLIST!_STR10</vt:lpstr>
      <vt:lpstr>Tp_STOCK_CORE!_STR10</vt:lpstr>
      <vt:lpstr>Tp_EDGEBAND!_STR11</vt:lpstr>
      <vt:lpstr>Tp_FINISH!_STR11</vt:lpstr>
      <vt:lpstr>Tp_LABEL!_STR11</vt:lpstr>
      <vt:lpstr>Tp_NESTING_B!_STR11</vt:lpstr>
      <vt:lpstr>Tp_PARTLIST!_STR11</vt:lpstr>
      <vt:lpstr>Tp_STOCK_CORE!_STR11</vt:lpstr>
      <vt:lpstr>Tp_FINISH!_STR12</vt:lpstr>
      <vt:lpstr>Tp_LABEL!_STR12</vt:lpstr>
      <vt:lpstr>Tp_NESTING_B!_STR12</vt:lpstr>
      <vt:lpstr>Tp_PARTLIST!_STR12</vt:lpstr>
      <vt:lpstr>Tp_STOCK_CORE!_STR12</vt:lpstr>
      <vt:lpstr>Tp_FINISH!_STR13</vt:lpstr>
      <vt:lpstr>Tp_LABEL!_STR13</vt:lpstr>
      <vt:lpstr>Tp_NESTING_B!_STR13</vt:lpstr>
      <vt:lpstr>Tp_PARTLIST!_STR13</vt:lpstr>
      <vt:lpstr>Tp_STOCK_CORE!_STR13</vt:lpstr>
      <vt:lpstr>Tp_NESTING_B!_STR14</vt:lpstr>
      <vt:lpstr>Tp_LABEL!_STR15</vt:lpstr>
      <vt:lpstr>Tp_NESTING_B!_STR15</vt:lpstr>
      <vt:lpstr>Tp_PARTLIST!_STR15</vt:lpstr>
      <vt:lpstr>PARTLIST!_STR16</vt:lpstr>
      <vt:lpstr>Tp_LABEL!_STR16</vt:lpstr>
      <vt:lpstr>Tp_NESTING_B!_STR16</vt:lpstr>
      <vt:lpstr>Tp_PARTLIST!_STR16</vt:lpstr>
      <vt:lpstr>Tp_LABEL!_STR17</vt:lpstr>
      <vt:lpstr>Tp_NESTING_B!_STR17</vt:lpstr>
      <vt:lpstr>Tp_PARTLIST!_STR17</vt:lpstr>
      <vt:lpstr>Tp_LABEL!_STR18</vt:lpstr>
      <vt:lpstr>Tp_NESTING_B!_STR18</vt:lpstr>
      <vt:lpstr>PARTLIST!_STR19</vt:lpstr>
      <vt:lpstr>Tp_LABEL!_STR19</vt:lpstr>
      <vt:lpstr>Tp_NESTING_B!_STR19</vt:lpstr>
      <vt:lpstr>Tp_PARTLIST!_STR19</vt:lpstr>
      <vt:lpstr>EDGEBAND!_STR2</vt:lpstr>
      <vt:lpstr>STOCK_CORE!_STR2</vt:lpstr>
      <vt:lpstr>Tp_EDGEBAND!_STR2</vt:lpstr>
      <vt:lpstr>Tp_FINISH!_STR2</vt:lpstr>
      <vt:lpstr>Tp_HARDWARE!_STR2</vt:lpstr>
      <vt:lpstr>Tp_HARDWARE_LIST!_STR2</vt:lpstr>
      <vt:lpstr>Tp_LABEL!_STR2</vt:lpstr>
      <vt:lpstr>Tp_NESTING_B!_STR2</vt:lpstr>
      <vt:lpstr>Tp_PARTLIST!_STR2</vt:lpstr>
      <vt:lpstr>Tp_STOCK_CORE!_STR2</vt:lpstr>
      <vt:lpstr>PARTLIST!_STR20</vt:lpstr>
      <vt:lpstr>Tp_LABEL!_STR20</vt:lpstr>
      <vt:lpstr>Tp_NESTING_B!_STR20</vt:lpstr>
      <vt:lpstr>Tp_PARTLIST!_STR20</vt:lpstr>
      <vt:lpstr>PARTLIST!_STR21</vt:lpstr>
      <vt:lpstr>Tp_LABEL!_STR21</vt:lpstr>
      <vt:lpstr>Tp_NESTING_B!_STR21</vt:lpstr>
      <vt:lpstr>Tp_PARTLIST!_STR21</vt:lpstr>
      <vt:lpstr>PARTLIST!_STR22</vt:lpstr>
      <vt:lpstr>Tp_NESTING_B!_STR22</vt:lpstr>
      <vt:lpstr>Tp_PARTLIST!_STR22</vt:lpstr>
      <vt:lpstr>Tp_NESTING_B!_STR23</vt:lpstr>
      <vt:lpstr>_STR23</vt:lpstr>
      <vt:lpstr>Tp_NESTING_B!_STR24</vt:lpstr>
      <vt:lpstr>Tp_NESTING_B!_STR25</vt:lpstr>
      <vt:lpstr>Tp_NESTING_B!_STR26</vt:lpstr>
      <vt:lpstr>Tp_NESTING_B!_STR27</vt:lpstr>
      <vt:lpstr>Tp_NESTING_B!_STR28</vt:lpstr>
      <vt:lpstr>Tp_NESTING_B!_STR29</vt:lpstr>
      <vt:lpstr>Tp_EDGEBAND!_STR3</vt:lpstr>
      <vt:lpstr>Tp_FINISH!_STR3</vt:lpstr>
      <vt:lpstr>Tp_HARDWARE!_STR3</vt:lpstr>
      <vt:lpstr>Tp_HARDWARE_LIST!_STR3</vt:lpstr>
      <vt:lpstr>Tp_LABEL!_STR3</vt:lpstr>
      <vt:lpstr>Tp_NESTING_B!_STR3</vt:lpstr>
      <vt:lpstr>Tp_PARTLIST!_STR3</vt:lpstr>
      <vt:lpstr>Tp_STOCK_CORE!_STR3</vt:lpstr>
      <vt:lpstr>PARTLIST!_STR30</vt:lpstr>
      <vt:lpstr>Tp_NESTING_B!_STR30</vt:lpstr>
      <vt:lpstr>Tp_PARTLIST!_STR30</vt:lpstr>
      <vt:lpstr>Tp_EDGEBAND!_STR4</vt:lpstr>
      <vt:lpstr>Tp_FINISH!_STR4</vt:lpstr>
      <vt:lpstr>Tp_HARDWARE!_STR4</vt:lpstr>
      <vt:lpstr>Tp_HARDWARE_LIST!_STR4</vt:lpstr>
      <vt:lpstr>Tp_LABEL!_STR4</vt:lpstr>
      <vt:lpstr>Tp_NESTING_B!_STR4</vt:lpstr>
      <vt:lpstr>Tp_PARTLIST!_STR4</vt:lpstr>
      <vt:lpstr>Tp_STOCK_CORE!_STR4</vt:lpstr>
      <vt:lpstr>HARDWARE!_STR5</vt:lpstr>
      <vt:lpstr>HARDWARE_LIST!_STR5</vt:lpstr>
      <vt:lpstr>Tp_EDGEBAND!_STR5</vt:lpstr>
      <vt:lpstr>Tp_FINISH!_STR5</vt:lpstr>
      <vt:lpstr>Tp_HARDWARE!_STR5</vt:lpstr>
      <vt:lpstr>Tp_HARDWARE_LIST!_STR5</vt:lpstr>
      <vt:lpstr>Tp_NESTING_B!_STR5</vt:lpstr>
      <vt:lpstr>Tp_PARTLIST!_STR5</vt:lpstr>
      <vt:lpstr>Tp_STOCK_CORE!_STR5</vt:lpstr>
      <vt:lpstr>HARDWARE!_STR6</vt:lpstr>
      <vt:lpstr>HARDWARE_LIST!_STR6</vt:lpstr>
      <vt:lpstr>Tp_EDGEBAND!_STR6</vt:lpstr>
      <vt:lpstr>Tp_FINISH!_STR6</vt:lpstr>
      <vt:lpstr>Tp_HARDWARE!_STR6</vt:lpstr>
      <vt:lpstr>Tp_HARDWARE_LIST!_STR6</vt:lpstr>
      <vt:lpstr>Tp_NESTING_B!_STR6</vt:lpstr>
      <vt:lpstr>Tp_PARTLIST!_STR6</vt:lpstr>
      <vt:lpstr>Tp_STOCK_CORE!_STR6</vt:lpstr>
      <vt:lpstr>_STR6</vt:lpstr>
      <vt:lpstr>Tp_EDGEBAND!_STR7</vt:lpstr>
      <vt:lpstr>Tp_FINISH!_STR7</vt:lpstr>
      <vt:lpstr>Tp_HARDWARE!_STR7</vt:lpstr>
      <vt:lpstr>Tp_HARDWARE_LIST!_STR7</vt:lpstr>
      <vt:lpstr>Tp_NESTING_B!_STR7</vt:lpstr>
      <vt:lpstr>Tp_PARTLIST!_STR7</vt:lpstr>
      <vt:lpstr>Tp_STOCK_CORE!_STR7</vt:lpstr>
      <vt:lpstr>HARDWARE!_STR8</vt:lpstr>
      <vt:lpstr>HARDWARE_LIST!_STR8</vt:lpstr>
      <vt:lpstr>Tp_EDGEBAND!_STR8</vt:lpstr>
      <vt:lpstr>Tp_FINISH!_STR8</vt:lpstr>
      <vt:lpstr>Tp_HARDWARE!_STR8</vt:lpstr>
      <vt:lpstr>Tp_HARDWARE_LIST!_STR8</vt:lpstr>
      <vt:lpstr>Tp_LABEL!_STR8</vt:lpstr>
      <vt:lpstr>Tp_NESTING_B!_STR8</vt:lpstr>
      <vt:lpstr>Tp_PARTLIST!_STR8</vt:lpstr>
      <vt:lpstr>Tp_STOCK_CORE!_STR8</vt:lpstr>
      <vt:lpstr>HARDWARE!_STR9</vt:lpstr>
      <vt:lpstr>HARDWARE_LIST!_STR9</vt:lpstr>
      <vt:lpstr>Tp_EDGEBAND!_STR9</vt:lpstr>
      <vt:lpstr>Tp_FINISH!_STR9</vt:lpstr>
      <vt:lpstr>Tp_HARDWARE!_STR9</vt:lpstr>
      <vt:lpstr>Tp_HARDWARE_LIST!_STR9</vt:lpstr>
      <vt:lpstr>Tp_LABEL!_STR9</vt:lpstr>
      <vt:lpstr>Tp_NESTING_B!_STR9</vt:lpstr>
      <vt:lpstr>Tp_PARTLIST!_STR9</vt:lpstr>
      <vt:lpstr>Tp_STOCK_CORE!_STR9</vt:lpstr>
      <vt:lpstr>Tp_NESTING_B!_VAR1</vt:lpstr>
      <vt:lpstr>Tp_NESTING_B!_VAR2</vt:lpstr>
      <vt:lpstr>Tp_NESTING_B!_VAR3</vt:lpstr>
      <vt:lpstr>Tp_NESTING_B!_VAR4</vt:lpstr>
      <vt:lpstr>Tp_NESTING_B!_VAR5</vt:lpstr>
      <vt:lpstr>EDGEBAND!Print_Area</vt:lpstr>
      <vt:lpstr>HARDWARE!Print_Area</vt:lpstr>
      <vt:lpstr>HARDWARE_LIST!Print_Area</vt:lpstr>
      <vt:lpstr>LABEL!Print_Area</vt:lpstr>
      <vt:lpstr>PARTLIST!Print_Area</vt:lpstr>
      <vt:lpstr>STOCK_CORE!Print_Area</vt:lpstr>
      <vt:lpstr>SUMMARY!Print_Area</vt:lpstr>
      <vt:lpstr>Tp_EDGEBAND!Print_Area</vt:lpstr>
      <vt:lpstr>Tp_FINISH!Print_Area</vt:lpstr>
      <vt:lpstr>Tp_HARDWARE!Print_Area</vt:lpstr>
      <vt:lpstr>Tp_HARDWARE_LIST!Print_Area</vt:lpstr>
      <vt:lpstr>Tp_LABEL!Print_Area</vt:lpstr>
      <vt:lpstr>Tp_MULTIBODIES!Print_Area</vt:lpstr>
      <vt:lpstr>Tp_NESTING_B!Print_Area</vt:lpstr>
      <vt:lpstr>Tp_PARTLIST!Print_Area</vt:lpstr>
      <vt:lpstr>Tp_PRODUCT!Print_Area</vt:lpstr>
      <vt:lpstr>Tp_STOCK_CORE!Print_Area</vt:lpstr>
      <vt:lpstr>Tp_WELDMENTS!Print_Area</vt:lpstr>
      <vt:lpstr>LABEL!Print_Titles</vt:lpstr>
      <vt:lpstr>PARTLIST!Print_Titles</vt:lpstr>
      <vt:lpstr>Tp_Global!Print_Titles</vt:lpstr>
      <vt:lpstr>Tp_LABEL!Print_Titles</vt:lpstr>
      <vt:lpstr>Tp_MULTIBODIES!Print_Titles</vt:lpstr>
      <vt:lpstr>Tp_PARTLIST!Print_Titles</vt:lpstr>
      <vt:lpstr>Tp_PRODUCT!Print_Titles</vt:lpstr>
      <vt:lpstr>Tp_WELDMENTS!Print_Titles</vt:lpstr>
      <vt:lpstr>REPORTLANGUAGE</vt:lpstr>
      <vt:lpstr>EDGEBAND!SETTINGS_ALWAYS_COPY_LAST</vt:lpstr>
      <vt:lpstr>HARDWARE!SETTINGS_ALWAYS_COPY_LAST</vt:lpstr>
      <vt:lpstr>HARDWARE_LIST!SETTINGS_ALWAYS_COPY_LAST</vt:lpstr>
      <vt:lpstr>LABEL!SETTINGS_ALWAYS_COPY_LAST</vt:lpstr>
      <vt:lpstr>PARTLIST!SETTINGS_ALWAYS_COPY_LAST</vt:lpstr>
      <vt:lpstr>STOCK_CORE!SETTINGS_ALWAYS_COPY_LAST</vt:lpstr>
      <vt:lpstr>Tp_EDGEBAND!SETTINGS_ALWAYS_COPY_LAST</vt:lpstr>
      <vt:lpstr>Tp_FINISH!SETTINGS_ALWAYS_COPY_LAST</vt:lpstr>
      <vt:lpstr>Tp_HARDWARE!SETTINGS_ALWAYS_COPY_LAST</vt:lpstr>
      <vt:lpstr>Tp_HARDWARE_LIST!SETTINGS_ALWAYS_COPY_LAST</vt:lpstr>
      <vt:lpstr>Tp_LABEL!SETTINGS_ALWAYS_COPY_LAST</vt:lpstr>
      <vt:lpstr>Tp_MULTIBODIES!SETTINGS_ALWAYS_COPY_LAST</vt:lpstr>
      <vt:lpstr>Tp_PARTLIST!SETTINGS_ALWAYS_COPY_LAST</vt:lpstr>
      <vt:lpstr>Tp_PRODUCT!SETTINGS_ALWAYS_COPY_LAST</vt:lpstr>
      <vt:lpstr>Tp_STOCK_CORE!SETTINGS_ALWAYS_COPY_LAST</vt:lpstr>
      <vt:lpstr>Tp_WELDMENTS!SETTINGS_ALWAYS_COPY_LAST</vt:lpstr>
      <vt:lpstr>Tp_NESTING_B!SETTINGS_CFIRST_IMG</vt:lpstr>
      <vt:lpstr>Tp_NESTING_B!SETTINGS_CNB_IMG</vt:lpstr>
      <vt:lpstr>Tp_NESTING_B!SETTINGS_FIRST_ROW</vt:lpstr>
      <vt:lpstr>EDGEBAND!SETTINGS_HIDDEN_SHEET</vt:lpstr>
      <vt:lpstr>HARDWARE!SETTINGS_HIDDEN_SHEET</vt:lpstr>
      <vt:lpstr>HARDWARE_LIST!SETTINGS_HIDDEN_SHEET</vt:lpstr>
      <vt:lpstr>LABEL!SETTINGS_HIDDEN_SHEET</vt:lpstr>
      <vt:lpstr>PARTLIST!SETTINGS_HIDDEN_SHEET</vt:lpstr>
      <vt:lpstr>STOCK_CORE!SETTINGS_HIDDEN_SHEET</vt:lpstr>
      <vt:lpstr>Tp_EDGEBAND!SETTINGS_HIDDEN_SHEET</vt:lpstr>
      <vt:lpstr>Tp_FINISH!SETTINGS_HIDDEN_SHEET</vt:lpstr>
      <vt:lpstr>Tp_HARDWARE!SETTINGS_HIDDEN_SHEET</vt:lpstr>
      <vt:lpstr>Tp_HARDWARE_LIST!SETTINGS_HIDDEN_SHEET</vt:lpstr>
      <vt:lpstr>Tp_LABEL!SETTINGS_HIDDEN_SHEET</vt:lpstr>
      <vt:lpstr>Tp_MULTIBODIES!SETTINGS_HIDDEN_SHEET</vt:lpstr>
      <vt:lpstr>Tp_NESTING_B!SETTINGS_HIDDEN_SHEET</vt:lpstr>
      <vt:lpstr>Tp_PARTLIST!SETTINGS_HIDDEN_SHEET</vt:lpstr>
      <vt:lpstr>Tp_PRODUCT!SETTINGS_HIDDEN_SHEET</vt:lpstr>
      <vt:lpstr>Tp_STOCK_CORE!SETTINGS_HIDDEN_SHEET</vt:lpstr>
      <vt:lpstr>Tp_WELDMENTS!SETTINGS_HIDDEN_SHEET</vt:lpstr>
      <vt:lpstr>EDGEBAND!SETTINGS_HNB_COPY</vt:lpstr>
      <vt:lpstr>HARDWARE!SETTINGS_HNB_COPY</vt:lpstr>
      <vt:lpstr>HARDWARE_LIST!SETTINGS_HNB_COPY</vt:lpstr>
      <vt:lpstr>LABEL!SETTINGS_HNB_COPY</vt:lpstr>
      <vt:lpstr>PARTLIST!SETTINGS_HNB_COPY</vt:lpstr>
      <vt:lpstr>STOCK_CORE!SETTINGS_HNB_COPY</vt:lpstr>
      <vt:lpstr>Tp_EDGEBAND!SETTINGS_HNB_COPY</vt:lpstr>
      <vt:lpstr>Tp_FINISH!SETTINGS_HNB_COPY</vt:lpstr>
      <vt:lpstr>Tp_HARDWARE!SETTINGS_HNB_COPY</vt:lpstr>
      <vt:lpstr>Tp_HARDWARE_LIST!SETTINGS_HNB_COPY</vt:lpstr>
      <vt:lpstr>Tp_LABEL!SETTINGS_HNB_COPY</vt:lpstr>
      <vt:lpstr>Tp_MULTIBODIES!SETTINGS_HNB_COPY</vt:lpstr>
      <vt:lpstr>Tp_NESTING_B!SETTINGS_HNB_COPY</vt:lpstr>
      <vt:lpstr>Tp_PARTLIST!SETTINGS_HNB_COPY</vt:lpstr>
      <vt:lpstr>Tp_PRODUCT!SETTINGS_HNB_COPY</vt:lpstr>
      <vt:lpstr>Tp_STOCK_CORE!SETTINGS_HNB_COPY</vt:lpstr>
      <vt:lpstr>Tp_WELDMENTS!SETTINGS_HNB_COPY</vt:lpstr>
      <vt:lpstr>Tp_NESTING_B!SETTINGS_INSERT_PICT</vt:lpstr>
      <vt:lpstr>Tp_NESTING_B!SETTINGS_RFIRST_IMG</vt:lpstr>
      <vt:lpstr>Tp_NESTING_B!SETTINGS_RH</vt:lpstr>
      <vt:lpstr>Tp_NESTING_B!SETTINGS_RNB_IMG</vt:lpstr>
      <vt:lpstr>Tp_NESTING_B!STR0</vt:lpstr>
      <vt:lpstr>XML_DEBUG_DETAILS</vt:lpstr>
      <vt:lpstr>XML_DEBUG_FULLPATH</vt:lpstr>
      <vt:lpstr>XML_TP_DETAILS</vt:lpstr>
      <vt:lpstr>Tp_Global!XML_TP_FULLPATH</vt:lpstr>
      <vt:lpstr>XML_TP_MAIN</vt:lpstr>
      <vt:lpstr>Tp_PRODUCT!ZONECAB</vt:lpstr>
      <vt:lpstr>Tp_PRODUCT!ZONECAB.IMG1</vt:lpstr>
      <vt:lpstr>Tp_PRODUCT!ZONECAB.STR1</vt:lpstr>
      <vt:lpstr>Tp_PRODUCT!ZONECAB.STR2</vt:lpstr>
      <vt:lpstr>Tp_PRODUCT!ZONECAB.STR3</vt:lpstr>
      <vt:lpstr>Tp_PRODUCT!ZONECHILDPART_TITLE</vt:lpstr>
      <vt:lpstr>EDGEBAND!ZONECOPY</vt:lpstr>
      <vt:lpstr>HARDWARE!ZONECOPY</vt:lpstr>
      <vt:lpstr>HARDWARE_LIST!ZONECOPY</vt:lpstr>
      <vt:lpstr>PARTLIST!ZONECOPY</vt:lpstr>
      <vt:lpstr>STOCK_CORE!ZONECOPY</vt:lpstr>
      <vt:lpstr>Tp_EDGEBAND!ZONECOPY</vt:lpstr>
      <vt:lpstr>Tp_FINISH!ZONECOPY</vt:lpstr>
      <vt:lpstr>Tp_HARDWARE!ZONECOPY</vt:lpstr>
      <vt:lpstr>Tp_HARDWARE_LIST!ZONECOPY</vt:lpstr>
      <vt:lpstr>Tp_LABEL!ZONECOPY</vt:lpstr>
      <vt:lpstr>Tp_NESTING_B!ZONECOPY</vt:lpstr>
      <vt:lpstr>Tp_PARTLIST!ZONECOPY</vt:lpstr>
      <vt:lpstr>Tp_STOCK_CORE!ZONECOPY</vt:lpstr>
      <vt:lpstr>Tp_PRODUCT!ZONEHA</vt:lpstr>
      <vt:lpstr>Tp_PRODUCT!ZONEHA.IMG1</vt:lpstr>
      <vt:lpstr>Tp_PRODUCT!ZONEHA.PARENT.IMG1</vt:lpstr>
      <vt:lpstr>Tp_PRODUCT!ZONEHA.PARENT.STR1</vt:lpstr>
      <vt:lpstr>Tp_PRODUCT!ZONEHA.PARENT.STR2</vt:lpstr>
      <vt:lpstr>Tp_PRODUCT!ZONEHA.PARENT.STR3</vt:lpstr>
      <vt:lpstr>Tp_PRODUCT!ZONEHA.STR1</vt:lpstr>
      <vt:lpstr>Tp_PRODUCT!ZONEHA.STR2</vt:lpstr>
      <vt:lpstr>Tp_PRODUCT!ZONEHA.STR3</vt:lpstr>
      <vt:lpstr>Tp_PRODUCT!ZONEHA.STR4</vt:lpstr>
      <vt:lpstr>Tp_PRODUCT!ZONEHA.STR5</vt:lpstr>
      <vt:lpstr>Tp_PRODUCT!ZONEHA_TITLE</vt:lpstr>
      <vt:lpstr>Tp_PRODUCT!ZONEHA_TITLE.PARENT.IMG1</vt:lpstr>
      <vt:lpstr>Tp_PRODUCT!ZONEHA_TITLE.PARENT.STR1</vt:lpstr>
      <vt:lpstr>Tp_PRODUCT!ZONEHA_TITLE.PARENT.STR2</vt:lpstr>
      <vt:lpstr>Tp_PRODUCT!ZONEHA_TITLE.PARENT.STR3</vt:lpstr>
      <vt:lpstr>Tp_PRODUCT!ZONEHA_TITLE.STR1</vt:lpstr>
      <vt:lpstr>Tp_MULTIBODIES!ZONEMULTIBODIES</vt:lpstr>
      <vt:lpstr>Tp_MULTIBODIES!ZONEMULTIBODIES.IMG1</vt:lpstr>
      <vt:lpstr>Tp_MULTIBODIES!ZONEMULTIBODIES.PARENT.IMG1</vt:lpstr>
      <vt:lpstr>Tp_MULTIBODIES!ZONEMULTIBODIES.PARENT.STR1</vt:lpstr>
      <vt:lpstr>Tp_MULTIBODIES!ZONEMULTIBODIES.PARENT.STR2</vt:lpstr>
      <vt:lpstr>Tp_MULTIBODIES!ZONEMULTIBODIES.STR1</vt:lpstr>
      <vt:lpstr>Tp_MULTIBODIES!ZONEMULTIBODIES.STR2</vt:lpstr>
      <vt:lpstr>Tp_MULTIBODIES!ZONEMULTIBODIES.STR3</vt:lpstr>
      <vt:lpstr>Tp_MULTIBODIES!ZONEMULTIBODIES.STR4</vt:lpstr>
      <vt:lpstr>Tp_MULTIBODIES!ZONEMULTIBODIES.STR5</vt:lpstr>
      <vt:lpstr>Tp_MULTIBODIES!ZONEMULTIBODIES.STR6</vt:lpstr>
      <vt:lpstr>Tp_MULTIBODIES!ZONEPART</vt:lpstr>
      <vt:lpstr>Tp_PRODUCT!ZONEPART</vt:lpstr>
      <vt:lpstr>Tp_WELDMENTS!ZONEPART</vt:lpstr>
      <vt:lpstr>Tp_MULTIBODIES!ZONEPART.IMG1</vt:lpstr>
      <vt:lpstr>Tp_PRODUCT!ZONEPART.IMG1</vt:lpstr>
      <vt:lpstr>Tp_WELDMENTS!ZONEPART.IMG1</vt:lpstr>
      <vt:lpstr>Tp_PRODUCT!ZONEPART.PARENT.IMG1</vt:lpstr>
      <vt:lpstr>Tp_PRODUCT!ZONEPART.PARENT.STR1</vt:lpstr>
      <vt:lpstr>Tp_PRODUCT!ZONEPART.PARENT.STR2</vt:lpstr>
      <vt:lpstr>Tp_PRODUCT!ZONEPART.PARENT.STR3</vt:lpstr>
      <vt:lpstr>Tp_MULTIBODIES!ZONEPART.STR1</vt:lpstr>
      <vt:lpstr>Tp_PRODUCT!ZONEPART.STR1</vt:lpstr>
      <vt:lpstr>Tp_WELDMENTS!ZONEPART.STR1</vt:lpstr>
      <vt:lpstr>Tp_PRODUCT!ZONEPART.STR10</vt:lpstr>
      <vt:lpstr>Tp_PRODUCT!ZONEPART.STR11</vt:lpstr>
      <vt:lpstr>Tp_PRODUCT!ZONEPART.STR12</vt:lpstr>
      <vt:lpstr>Tp_PRODUCT!ZONEPART.STR13</vt:lpstr>
      <vt:lpstr>Tp_PRODUCT!ZONEPART.STR14</vt:lpstr>
      <vt:lpstr>Tp_PRODUCT!ZONEPART.STR15</vt:lpstr>
      <vt:lpstr>Tp_PRODUCT!ZONEPART.STR16</vt:lpstr>
      <vt:lpstr>Tp_PRODUCT!ZONEPART.STR17</vt:lpstr>
      <vt:lpstr>Tp_PRODUCT!ZONEPART.STR18</vt:lpstr>
      <vt:lpstr>Tp_MULTIBODIES!ZONEPART.STR2</vt:lpstr>
      <vt:lpstr>Tp_PRODUCT!ZONEPART.STR2</vt:lpstr>
      <vt:lpstr>Tp_WELDMENTS!ZONEPART.STR2</vt:lpstr>
      <vt:lpstr>Tp_PRODUCT!ZONEPART.STR3</vt:lpstr>
      <vt:lpstr>Tp_PRODUCT!ZONEPART.STR4</vt:lpstr>
      <vt:lpstr>Tp_PRODUCT!ZONEPART.STR5</vt:lpstr>
      <vt:lpstr>Tp_PRODUCT!ZONEPART.STR6</vt:lpstr>
      <vt:lpstr>Tp_PRODUCT!ZONEPART.STR7</vt:lpstr>
      <vt:lpstr>Tp_PRODUCT!ZONEPART.STR8</vt:lpstr>
      <vt:lpstr>Tp_PRODUCT!ZONEPART.STR9</vt:lpstr>
      <vt:lpstr>Tp_PRODUCT!ZONEPART_TITLE</vt:lpstr>
      <vt:lpstr>Tp_PRODUCT!ZONEPART_TITLE.PARENT.IMG1</vt:lpstr>
      <vt:lpstr>Tp_PRODUCT!ZONEPART_TITLE.PARENT.STR1</vt:lpstr>
      <vt:lpstr>Tp_PRODUCT!ZONEPART_TITLE.PARENT.STR2</vt:lpstr>
      <vt:lpstr>Tp_PRODUCT!ZONEPART_TITLE.PARENT.STR3</vt:lpstr>
      <vt:lpstr>Tp_PRODUCT!ZONEPART_TITLE.STR1</vt:lpstr>
      <vt:lpstr>Tp_PRODUCT!ZONEPROGRAM</vt:lpstr>
      <vt:lpstr>Tp_PRODUCT!ZONEPROGRAM.IMG1</vt:lpstr>
      <vt:lpstr>Tp_PRODUCT!ZONEPROGRAM.PARENT.IMG1</vt:lpstr>
      <vt:lpstr>Tp_PRODUCT!ZONEPROGRAM.PARENT.PARENT.IMG1</vt:lpstr>
      <vt:lpstr>Tp_PRODUCT!ZONEPROGRAM.PARENT.PARENT.STR1</vt:lpstr>
      <vt:lpstr>Tp_PRODUCT!ZONEPROGRAM.PARENT.PARENT.STR2</vt:lpstr>
      <vt:lpstr>Tp_PRODUCT!ZONEPROGRAM.PARENT.PARENT.STR3</vt:lpstr>
      <vt:lpstr>Tp_PRODUCT!ZONEPROGRAM.PARENT.STR1</vt:lpstr>
      <vt:lpstr>Tp_PRODUCT!ZONEPROGRAM.PARENT.STR10</vt:lpstr>
      <vt:lpstr>Tp_PRODUCT!ZONEPROGRAM.PARENT.STR11</vt:lpstr>
      <vt:lpstr>Tp_PRODUCT!ZONEPROGRAM.PARENT.STR12</vt:lpstr>
      <vt:lpstr>Tp_PRODUCT!ZONEPROGRAM.PARENT.STR13</vt:lpstr>
      <vt:lpstr>Tp_PRODUCT!ZONEPROGRAM.PARENT.STR14</vt:lpstr>
      <vt:lpstr>Tp_PRODUCT!ZONEPROGRAM.PARENT.STR15</vt:lpstr>
      <vt:lpstr>Tp_PRODUCT!ZONEPROGRAM.PARENT.STR16</vt:lpstr>
      <vt:lpstr>Tp_PRODUCT!ZONEPROGRAM.PARENT.STR17</vt:lpstr>
      <vt:lpstr>Tp_PRODUCT!ZONEPROGRAM.PARENT.STR18</vt:lpstr>
      <vt:lpstr>Tp_PRODUCT!ZONEPROGRAM.PARENT.STR2</vt:lpstr>
      <vt:lpstr>Tp_PRODUCT!ZONEPROGRAM.PARENT.STR3</vt:lpstr>
      <vt:lpstr>Tp_PRODUCT!ZONEPROGRAM.PARENT.STR4</vt:lpstr>
      <vt:lpstr>Tp_PRODUCT!ZONEPROGRAM.PARENT.STR5</vt:lpstr>
      <vt:lpstr>Tp_PRODUCT!ZONEPROGRAM.PARENT.STR6</vt:lpstr>
      <vt:lpstr>Tp_PRODUCT!ZONEPROGRAM.PARENT.STR7</vt:lpstr>
      <vt:lpstr>Tp_PRODUCT!ZONEPROGRAM.PARENT.STR8</vt:lpstr>
      <vt:lpstr>Tp_PRODUCT!ZONEPROGRAM.PARENT.STR9</vt:lpstr>
      <vt:lpstr>Tp_PRODUCT!ZONEPROGRAM.STR1</vt:lpstr>
      <vt:lpstr>Tp_PRODUCT!ZONEPROGRAM.STR2</vt:lpstr>
      <vt:lpstr>Tp_PRODUCT!ZONEPROGRAM.STR3</vt:lpstr>
      <vt:lpstr>Tp_PRODUCT!ZONEPROGRAM.STR4</vt:lpstr>
      <vt:lpstr>Tp_PRODUCT!ZONEPROGRAM.STR5</vt:lpstr>
      <vt:lpstr>Tp_PRODUCT!ZONEPROGRAM.STR6</vt:lpstr>
      <vt:lpstr>Tp_PRODUCT!ZONEPROGRAM.STR7</vt:lpstr>
      <vt:lpstr>Tp_PRODUCT!ZONEPROGRAM_TITLE</vt:lpstr>
      <vt:lpstr>Tp_PRODUCT!ZONEPROGRAM_TITLE.PARENT.IMG1</vt:lpstr>
      <vt:lpstr>Tp_PRODUCT!ZONEPROGRAM_TITLE.PARENT.PARENT.IMG1</vt:lpstr>
      <vt:lpstr>Tp_PRODUCT!ZONEPROGRAM_TITLE.PARENT.PARENT.STR1</vt:lpstr>
      <vt:lpstr>Tp_PRODUCT!ZONEPROGRAM_TITLE.PARENT.PARENT.STR2</vt:lpstr>
      <vt:lpstr>Tp_PRODUCT!ZONEPROGRAM_TITLE.PARENT.PARENT.STR3</vt:lpstr>
      <vt:lpstr>Tp_PRODUCT!ZONEPROGRAM_TITLE.PARENT.STR1</vt:lpstr>
      <vt:lpstr>Tp_PRODUCT!ZONEPROGRAM_TITLE.PARENT.STR10</vt:lpstr>
      <vt:lpstr>Tp_PRODUCT!ZONEPROGRAM_TITLE.PARENT.STR11</vt:lpstr>
      <vt:lpstr>Tp_PRODUCT!ZONEPROGRAM_TITLE.PARENT.STR12</vt:lpstr>
      <vt:lpstr>Tp_PRODUCT!ZONEPROGRAM_TITLE.PARENT.STR13</vt:lpstr>
      <vt:lpstr>Tp_PRODUCT!ZONEPROGRAM_TITLE.PARENT.STR14</vt:lpstr>
      <vt:lpstr>Tp_PRODUCT!ZONEPROGRAM_TITLE.PARENT.STR15</vt:lpstr>
      <vt:lpstr>Tp_PRODUCT!ZONEPROGRAM_TITLE.PARENT.STR16</vt:lpstr>
      <vt:lpstr>Tp_PRODUCT!ZONEPROGRAM_TITLE.PARENT.STR17</vt:lpstr>
      <vt:lpstr>Tp_PRODUCT!ZONEPROGRAM_TITLE.PARENT.STR18</vt:lpstr>
      <vt:lpstr>Tp_PRODUCT!ZONEPROGRAM_TITLE.PARENT.STR2</vt:lpstr>
      <vt:lpstr>Tp_PRODUCT!ZONEPROGRAM_TITLE.PARENT.STR3</vt:lpstr>
      <vt:lpstr>Tp_PRODUCT!ZONEPROGRAM_TITLE.PARENT.STR4</vt:lpstr>
      <vt:lpstr>Tp_PRODUCT!ZONEPROGRAM_TITLE.PARENT.STR5</vt:lpstr>
      <vt:lpstr>Tp_PRODUCT!ZONEPROGRAM_TITLE.PARENT.STR6</vt:lpstr>
      <vt:lpstr>Tp_PRODUCT!ZONEPROGRAM_TITLE.PARENT.STR7</vt:lpstr>
      <vt:lpstr>Tp_PRODUCT!ZONEPROGRAM_TITLE.PARENT.STR8</vt:lpstr>
      <vt:lpstr>Tp_PRODUCT!ZONEPROGRAM_TITLE.PARENT.STR9</vt:lpstr>
      <vt:lpstr>Tp_PRODUCT!ZONEPROGRAM_TITLE.STR1</vt:lpstr>
      <vt:lpstr>Tp_PRODUCT!ZONESTOCK</vt:lpstr>
      <vt:lpstr>Tp_PRODUCT!ZONESTOCK.IMG1</vt:lpstr>
      <vt:lpstr>Tp_PRODUCT!ZONESTOCK.PARENT.IMG1</vt:lpstr>
      <vt:lpstr>Tp_PRODUCT!ZONESTOCK.PARENT.PARENT.IMG1</vt:lpstr>
      <vt:lpstr>Tp_PRODUCT!ZONESTOCK.PARENT.PARENT.STR1</vt:lpstr>
      <vt:lpstr>Tp_PRODUCT!ZONESTOCK.PARENT.PARENT.STR2</vt:lpstr>
      <vt:lpstr>Tp_PRODUCT!ZONESTOCK.PARENT.PARENT.STR3</vt:lpstr>
      <vt:lpstr>Tp_PRODUCT!ZONESTOCK.PARENT.STR1</vt:lpstr>
      <vt:lpstr>Tp_PRODUCT!ZONESTOCK.PARENT.STR10</vt:lpstr>
      <vt:lpstr>Tp_PRODUCT!ZONESTOCK.PARENT.STR11</vt:lpstr>
      <vt:lpstr>Tp_PRODUCT!ZONESTOCK.PARENT.STR12</vt:lpstr>
      <vt:lpstr>Tp_PRODUCT!ZONESTOCK.PARENT.STR13</vt:lpstr>
      <vt:lpstr>Tp_PRODUCT!ZONESTOCK.PARENT.STR14</vt:lpstr>
      <vt:lpstr>Tp_PRODUCT!ZONESTOCK.PARENT.STR15</vt:lpstr>
      <vt:lpstr>Tp_PRODUCT!ZONESTOCK.PARENT.STR16</vt:lpstr>
      <vt:lpstr>Tp_PRODUCT!ZONESTOCK.PARENT.STR17</vt:lpstr>
      <vt:lpstr>Tp_PRODUCT!ZONESTOCK.PARENT.STR18</vt:lpstr>
      <vt:lpstr>Tp_PRODUCT!ZONESTOCK.PARENT.STR2</vt:lpstr>
      <vt:lpstr>Tp_PRODUCT!ZONESTOCK.PARENT.STR3</vt:lpstr>
      <vt:lpstr>Tp_PRODUCT!ZONESTOCK.PARENT.STR4</vt:lpstr>
      <vt:lpstr>Tp_PRODUCT!ZONESTOCK.PARENT.STR5</vt:lpstr>
      <vt:lpstr>Tp_PRODUCT!ZONESTOCK.PARENT.STR6</vt:lpstr>
      <vt:lpstr>Tp_PRODUCT!ZONESTOCK.PARENT.STR7</vt:lpstr>
      <vt:lpstr>Tp_PRODUCT!ZONESTOCK.PARENT.STR8</vt:lpstr>
      <vt:lpstr>Tp_PRODUCT!ZONESTOCK.PARENT.STR9</vt:lpstr>
      <vt:lpstr>Tp_PRODUCT!ZONESTOCK.STR1</vt:lpstr>
      <vt:lpstr>Tp_PRODUCT!ZONESTOCK.STR2</vt:lpstr>
      <vt:lpstr>Tp_PRODUCT!ZONESTOCK.STR3</vt:lpstr>
      <vt:lpstr>Tp_PRODUCT!ZONESTOCK.STR4</vt:lpstr>
      <vt:lpstr>Tp_PRODUCT!ZONESTOCK.STR5</vt:lpstr>
      <vt:lpstr>Tp_PRODUCT!ZONESTOCK.STR6</vt:lpstr>
      <vt:lpstr>Tp_PRODUCT!ZONESTOCK.STR7</vt:lpstr>
      <vt:lpstr>Tp_PRODUCT!ZONESTOCK_TITLE</vt:lpstr>
      <vt:lpstr>Tp_PRODUCT!ZONESTOCK_TITLE.PARENT.IMG1</vt:lpstr>
      <vt:lpstr>Tp_PRODUCT!ZONESTOCK_TITLE.PARENT.PARENT.IMG1</vt:lpstr>
      <vt:lpstr>Tp_PRODUCT!ZONESTOCK_TITLE.PARENT.PARENT.STR1</vt:lpstr>
      <vt:lpstr>Tp_PRODUCT!ZONESTOCK_TITLE.PARENT.PARENT.STR2</vt:lpstr>
      <vt:lpstr>Tp_PRODUCT!ZONESTOCK_TITLE.PARENT.PARENT.STR3</vt:lpstr>
      <vt:lpstr>Tp_PRODUCT!ZONESTOCK_TITLE.PARENT.STR1</vt:lpstr>
      <vt:lpstr>Tp_PRODUCT!ZONESTOCK_TITLE.PARENT.STR10</vt:lpstr>
      <vt:lpstr>Tp_PRODUCT!ZONESTOCK_TITLE.PARENT.STR11</vt:lpstr>
      <vt:lpstr>Tp_PRODUCT!ZONESTOCK_TITLE.PARENT.STR12</vt:lpstr>
      <vt:lpstr>Tp_PRODUCT!ZONESTOCK_TITLE.PARENT.STR13</vt:lpstr>
      <vt:lpstr>Tp_PRODUCT!ZONESTOCK_TITLE.PARENT.STR14</vt:lpstr>
      <vt:lpstr>Tp_PRODUCT!ZONESTOCK_TITLE.PARENT.STR15</vt:lpstr>
      <vt:lpstr>Tp_PRODUCT!ZONESTOCK_TITLE.PARENT.STR16</vt:lpstr>
      <vt:lpstr>Tp_PRODUCT!ZONESTOCK_TITLE.PARENT.STR17</vt:lpstr>
      <vt:lpstr>Tp_PRODUCT!ZONESTOCK_TITLE.PARENT.STR18</vt:lpstr>
      <vt:lpstr>Tp_PRODUCT!ZONESTOCK_TITLE.PARENT.STR2</vt:lpstr>
      <vt:lpstr>Tp_PRODUCT!ZONESTOCK_TITLE.PARENT.STR3</vt:lpstr>
      <vt:lpstr>Tp_PRODUCT!ZONESTOCK_TITLE.PARENT.STR4</vt:lpstr>
      <vt:lpstr>Tp_PRODUCT!ZONESTOCK_TITLE.PARENT.STR5</vt:lpstr>
      <vt:lpstr>Tp_PRODUCT!ZONESTOCK_TITLE.PARENT.STR6</vt:lpstr>
      <vt:lpstr>Tp_PRODUCT!ZONESTOCK_TITLE.PARENT.STR7</vt:lpstr>
      <vt:lpstr>Tp_PRODUCT!ZONESTOCK_TITLE.PARENT.STR8</vt:lpstr>
      <vt:lpstr>Tp_PRODUCT!ZONESTOCK_TITLE.PARENT.STR9</vt:lpstr>
      <vt:lpstr>Tp_PRODUCT!ZONESTOCK_TITLE.STR1</vt:lpstr>
      <vt:lpstr>Tp_WELDMENTS!ZONEWELDMENTS</vt:lpstr>
      <vt:lpstr>Tp_WELDMENTS!ZONEWELDMENTS.IMG1</vt:lpstr>
      <vt:lpstr>Tp_WELDMENTS!ZONEWELDMENTS.STR1</vt:lpstr>
      <vt:lpstr>Tp_WELDMENTS!ZONEWELDMENTS.STR2</vt:lpstr>
      <vt:lpstr>Tp_WELDMENTS!ZONEWELDMENTS.STR3</vt:lpstr>
      <vt:lpstr>Tp_WELDMENTS!ZONEWELDMENTS.STR4</vt:lpstr>
      <vt:lpstr>Tp_WELDMENTS!ZONEWELDMENTS.STR5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olivier.guerin</dc:creator>
  <cp:lastModifiedBy>Mantas - Projektavimas | Dėdės Baldai</cp:lastModifiedBy>
  <cp:lastPrinted>2019-11-26T15:08:54Z</cp:lastPrinted>
  <dcterms:created xsi:type="dcterms:W3CDTF">2016-04-07T13:26:21Z</dcterms:created>
  <dcterms:modified xsi:type="dcterms:W3CDTF">2026-10-14T11:05:01Z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_Number">
    <vt:lpwstr>CDC-02413</vt:lpwstr>
  </property>
  <property fmtid="{D5CDD505-2E9C-101B-9397-08002B2CF9AE}" pid="3" name="État de validation">
    <vt:lpwstr/>
  </property>
</Properties>
</file>